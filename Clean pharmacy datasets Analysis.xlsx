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202300"/>
  <mc:AlternateContent xmlns:mc="http://schemas.openxmlformats.org/markup-compatibility/2006">
    <mc:Choice Requires="x15">
      <x15ac:absPath xmlns:x15ac="http://schemas.microsoft.com/office/spreadsheetml/2010/11/ac" url="C:\Nebiant Internship\"/>
    </mc:Choice>
  </mc:AlternateContent>
  <xr:revisionPtr revIDLastSave="0" documentId="13_ncr:1_{FA96B17E-03E4-49B0-A76A-6F049CDFA7FE}" xr6:coauthVersionLast="47" xr6:coauthVersionMax="47" xr10:uidLastSave="{00000000-0000-0000-0000-000000000000}"/>
  <bookViews>
    <workbookView xWindow="-110" yWindow="-110" windowWidth="19420" windowHeight="11020" activeTab="2" xr2:uid="{C9C3B8F6-A112-454C-A48F-1B3FDAE61C02}"/>
  </bookViews>
  <sheets>
    <sheet name="Pharmacy_Analysis_Clean" sheetId="2" r:id="rId1"/>
    <sheet name="Pivot" sheetId="3" r:id="rId2"/>
    <sheet name="Dashboard1" sheetId="7" r:id="rId3"/>
    <sheet name="Dashboard2" sheetId="9" r:id="rId4"/>
  </sheets>
  <definedNames>
    <definedName name="_xlnm._FilterDatabase" localSheetId="0" hidden="1">Pharmacy_Analysis_Clean!$A$1:$N$503</definedName>
    <definedName name="Slicer_Sales_Rep">#N/A</definedName>
    <definedName name="Slicer_Years__Date1">#N/A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54" i="3" l="1"/>
  <c r="L54" i="3"/>
  <c r="M53" i="3"/>
  <c r="L53" i="3"/>
  <c r="M52" i="3"/>
  <c r="L52" i="3"/>
  <c r="M45" i="3"/>
  <c r="L45" i="3"/>
  <c r="M44" i="3"/>
  <c r="L44" i="3"/>
  <c r="M43" i="3"/>
  <c r="L43" i="3"/>
  <c r="K49" i="3"/>
  <c r="K48" i="3"/>
  <c r="K40" i="3"/>
  <c r="K39" i="3"/>
  <c r="M36" i="3"/>
  <c r="L36" i="3"/>
  <c r="M35" i="3"/>
  <c r="L35" i="3"/>
  <c r="M34" i="3"/>
  <c r="L34" i="3"/>
  <c r="H35" i="3"/>
  <c r="H34" i="3"/>
  <c r="E34" i="3" s="1"/>
  <c r="O2" i="2"/>
  <c r="O3"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52" i="2"/>
  <c r="O253" i="2"/>
  <c r="O254" i="2"/>
  <c r="O255" i="2"/>
  <c r="O256" i="2"/>
  <c r="O257" i="2"/>
  <c r="O258" i="2"/>
  <c r="O259" i="2"/>
  <c r="O260" i="2"/>
  <c r="O261" i="2"/>
  <c r="O262" i="2"/>
  <c r="O263" i="2"/>
  <c r="O264" i="2"/>
  <c r="O265" i="2"/>
  <c r="O266" i="2"/>
  <c r="O267" i="2"/>
  <c r="O268" i="2"/>
  <c r="O269" i="2"/>
  <c r="O270" i="2"/>
  <c r="O271" i="2"/>
  <c r="O272" i="2"/>
  <c r="O273" i="2"/>
  <c r="O274" i="2"/>
  <c r="O275" i="2"/>
  <c r="O276" i="2"/>
  <c r="O277" i="2"/>
  <c r="O278" i="2"/>
  <c r="O279" i="2"/>
  <c r="O280" i="2"/>
  <c r="O281" i="2"/>
  <c r="O282" i="2"/>
  <c r="O283" i="2"/>
  <c r="O284" i="2"/>
  <c r="O285" i="2"/>
  <c r="O286" i="2"/>
  <c r="O287" i="2"/>
  <c r="O288" i="2"/>
  <c r="O289" i="2"/>
  <c r="O290" i="2"/>
  <c r="O291" i="2"/>
  <c r="O292" i="2"/>
  <c r="O293" i="2"/>
  <c r="O294" i="2"/>
  <c r="O295" i="2"/>
  <c r="O296" i="2"/>
  <c r="O297" i="2"/>
  <c r="O298" i="2"/>
  <c r="O299" i="2"/>
  <c r="O300" i="2"/>
  <c r="O301" i="2"/>
  <c r="O302" i="2"/>
  <c r="O303" i="2"/>
  <c r="O304" i="2"/>
  <c r="O305" i="2"/>
  <c r="O306" i="2"/>
  <c r="O307" i="2"/>
  <c r="O308" i="2"/>
  <c r="O309" i="2"/>
  <c r="O310" i="2"/>
  <c r="O311" i="2"/>
  <c r="O312" i="2"/>
  <c r="O313" i="2"/>
  <c r="O314" i="2"/>
  <c r="O315" i="2"/>
  <c r="O316" i="2"/>
  <c r="O317" i="2"/>
  <c r="O318" i="2"/>
  <c r="O319" i="2"/>
  <c r="O320" i="2"/>
  <c r="O321" i="2"/>
  <c r="O322" i="2"/>
  <c r="O323" i="2"/>
  <c r="O324" i="2"/>
  <c r="O325" i="2"/>
  <c r="O326" i="2"/>
  <c r="O327" i="2"/>
  <c r="O328" i="2"/>
  <c r="O329" i="2"/>
  <c r="O330" i="2"/>
  <c r="O331" i="2"/>
  <c r="O332" i="2"/>
  <c r="O333" i="2"/>
  <c r="O334" i="2"/>
  <c r="O335" i="2"/>
  <c r="O336" i="2"/>
  <c r="O337" i="2"/>
  <c r="O338" i="2"/>
  <c r="O339" i="2"/>
  <c r="O340" i="2"/>
  <c r="O341" i="2"/>
  <c r="O342" i="2"/>
  <c r="O343" i="2"/>
  <c r="O344" i="2"/>
  <c r="O345" i="2"/>
  <c r="O346" i="2"/>
  <c r="O347" i="2"/>
  <c r="O348" i="2"/>
  <c r="O349" i="2"/>
  <c r="O350" i="2"/>
  <c r="O351" i="2"/>
  <c r="O352" i="2"/>
  <c r="O353" i="2"/>
  <c r="O354" i="2"/>
  <c r="O355" i="2"/>
  <c r="O356" i="2"/>
  <c r="O357" i="2"/>
  <c r="O358" i="2"/>
  <c r="O359" i="2"/>
  <c r="O360" i="2"/>
  <c r="O361" i="2"/>
  <c r="O362" i="2"/>
  <c r="O363" i="2"/>
  <c r="O364" i="2"/>
  <c r="O365" i="2"/>
  <c r="O366" i="2"/>
  <c r="O367" i="2"/>
  <c r="O368" i="2"/>
  <c r="O369" i="2"/>
  <c r="O370" i="2"/>
  <c r="O371" i="2"/>
  <c r="O372" i="2"/>
  <c r="O373" i="2"/>
  <c r="O374" i="2"/>
  <c r="O375" i="2"/>
  <c r="O376" i="2"/>
  <c r="O377" i="2"/>
  <c r="O378" i="2"/>
  <c r="O379" i="2"/>
  <c r="O380" i="2"/>
  <c r="O381" i="2"/>
  <c r="O382" i="2"/>
  <c r="O383" i="2"/>
  <c r="O384" i="2"/>
  <c r="O385" i="2"/>
  <c r="O386" i="2"/>
  <c r="O387" i="2"/>
  <c r="O388" i="2"/>
  <c r="O389" i="2"/>
  <c r="O390" i="2"/>
  <c r="O391" i="2"/>
  <c r="O392" i="2"/>
  <c r="O393" i="2"/>
  <c r="O394" i="2"/>
  <c r="O395" i="2"/>
  <c r="O396" i="2"/>
  <c r="O397" i="2"/>
  <c r="O398" i="2"/>
  <c r="O399" i="2"/>
  <c r="O400" i="2"/>
  <c r="O401" i="2"/>
  <c r="O402" i="2"/>
  <c r="O403" i="2"/>
  <c r="O404" i="2"/>
  <c r="O405" i="2"/>
  <c r="O406" i="2"/>
  <c r="O407" i="2"/>
  <c r="O408" i="2"/>
  <c r="O409" i="2"/>
  <c r="O410" i="2"/>
  <c r="O411" i="2"/>
  <c r="O412" i="2"/>
  <c r="O413" i="2"/>
  <c r="O414" i="2"/>
  <c r="O415" i="2"/>
  <c r="O416" i="2"/>
  <c r="O417" i="2"/>
  <c r="O418" i="2"/>
  <c r="O419" i="2"/>
  <c r="O420" i="2"/>
  <c r="O421" i="2"/>
  <c r="O422" i="2"/>
  <c r="O423" i="2"/>
  <c r="O424" i="2"/>
  <c r="O425" i="2"/>
  <c r="O426" i="2"/>
  <c r="O427" i="2"/>
  <c r="O428" i="2"/>
  <c r="O429" i="2"/>
  <c r="O430" i="2"/>
  <c r="O431" i="2"/>
  <c r="O432" i="2"/>
  <c r="O433" i="2"/>
  <c r="O434" i="2"/>
  <c r="O435" i="2"/>
  <c r="O436" i="2"/>
  <c r="O437" i="2"/>
  <c r="O438" i="2"/>
  <c r="O439" i="2"/>
  <c r="O440" i="2"/>
  <c r="O441" i="2"/>
  <c r="O442" i="2"/>
  <c r="O443" i="2"/>
  <c r="O444" i="2"/>
  <c r="O445" i="2"/>
  <c r="O446" i="2"/>
  <c r="O447" i="2"/>
  <c r="O448" i="2"/>
  <c r="O449" i="2"/>
  <c r="O450" i="2"/>
  <c r="O451" i="2"/>
  <c r="O452" i="2"/>
  <c r="O453" i="2"/>
  <c r="O454" i="2"/>
  <c r="O455" i="2"/>
  <c r="O456" i="2"/>
  <c r="O457" i="2"/>
  <c r="O458" i="2"/>
  <c r="O459" i="2"/>
  <c r="O460" i="2"/>
  <c r="O461" i="2"/>
  <c r="O462" i="2"/>
  <c r="O463" i="2"/>
  <c r="O464" i="2"/>
  <c r="O465" i="2"/>
  <c r="O466" i="2"/>
  <c r="O467" i="2"/>
  <c r="O468" i="2"/>
  <c r="O469" i="2"/>
  <c r="O470" i="2"/>
  <c r="O471" i="2"/>
  <c r="O472" i="2"/>
  <c r="O473" i="2"/>
  <c r="O474" i="2"/>
  <c r="O475" i="2"/>
  <c r="O476" i="2"/>
  <c r="O477" i="2"/>
  <c r="O478" i="2"/>
  <c r="O479" i="2"/>
  <c r="O480" i="2"/>
  <c r="O481" i="2"/>
  <c r="O482" i="2"/>
  <c r="O483" i="2"/>
  <c r="O484" i="2"/>
  <c r="O485" i="2"/>
  <c r="O486" i="2"/>
  <c r="O487" i="2"/>
  <c r="O488" i="2"/>
  <c r="O489" i="2"/>
  <c r="O490" i="2"/>
  <c r="O491" i="2"/>
  <c r="O492" i="2"/>
  <c r="O493" i="2"/>
  <c r="O494" i="2"/>
  <c r="O495" i="2"/>
  <c r="O496" i="2"/>
  <c r="O497" i="2"/>
  <c r="O498" i="2"/>
  <c r="O499" i="2"/>
  <c r="O500" i="2"/>
  <c r="O501" i="2"/>
  <c r="O502" i="2"/>
  <c r="O503" i="2"/>
  <c r="E36" i="3"/>
  <c r="E35" i="3"/>
  <c r="E37" i="3" s="1"/>
  <c r="D34" i="3"/>
  <c r="D35" i="3"/>
  <c r="D36" i="3"/>
  <c r="D27" i="9"/>
  <c r="E27" i="9"/>
  <c r="F27" i="9"/>
  <c r="G27" i="9"/>
  <c r="H27" i="9"/>
  <c r="D28" i="9"/>
  <c r="E28" i="9"/>
  <c r="F28" i="9"/>
  <c r="G28" i="9"/>
  <c r="H28" i="9"/>
  <c r="D29" i="9"/>
  <c r="E29" i="9"/>
  <c r="F29" i="9"/>
  <c r="G29" i="9"/>
  <c r="H29" i="9"/>
  <c r="D30" i="9"/>
  <c r="E30" i="9"/>
  <c r="F30" i="9"/>
  <c r="G30" i="9"/>
  <c r="H30" i="9"/>
  <c r="E26" i="9"/>
  <c r="F26" i="9"/>
  <c r="G26" i="9"/>
  <c r="H26" i="9"/>
  <c r="D26" i="9"/>
  <c r="D12" i="9"/>
  <c r="E12" i="9"/>
  <c r="F12" i="9"/>
  <c r="G12" i="9"/>
  <c r="H12" i="9"/>
  <c r="D13" i="9"/>
  <c r="E13" i="9"/>
  <c r="F13" i="9"/>
  <c r="G13" i="9"/>
  <c r="H13" i="9"/>
  <c r="D14" i="9"/>
  <c r="E14" i="9"/>
  <c r="F14" i="9"/>
  <c r="G14" i="9"/>
  <c r="H14" i="9"/>
  <c r="D15" i="9"/>
  <c r="E15" i="9"/>
  <c r="F15" i="9"/>
  <c r="G15" i="9"/>
  <c r="H15" i="9"/>
  <c r="D16" i="9"/>
  <c r="E16" i="9"/>
  <c r="F16" i="9"/>
  <c r="G16" i="9"/>
  <c r="H16" i="9"/>
  <c r="D17" i="9"/>
  <c r="E17" i="9"/>
  <c r="F17" i="9"/>
  <c r="G17" i="9"/>
  <c r="H17" i="9"/>
  <c r="D18" i="9"/>
  <c r="E18" i="9"/>
  <c r="F18" i="9"/>
  <c r="G18" i="9"/>
  <c r="H18" i="9"/>
  <c r="D19" i="9"/>
  <c r="E19" i="9"/>
  <c r="F19" i="9"/>
  <c r="G19" i="9"/>
  <c r="H19" i="9"/>
  <c r="D20" i="9"/>
  <c r="E20" i="9"/>
  <c r="F20" i="9"/>
  <c r="G20" i="9"/>
  <c r="H20" i="9"/>
  <c r="D21" i="9"/>
  <c r="E21" i="9"/>
  <c r="F21" i="9"/>
  <c r="G21" i="9"/>
  <c r="H21" i="9"/>
  <c r="D22" i="9"/>
  <c r="E22" i="9"/>
  <c r="F22" i="9"/>
  <c r="G22" i="9"/>
  <c r="H22" i="9"/>
  <c r="D23" i="9"/>
  <c r="E23" i="9"/>
  <c r="F23" i="9"/>
  <c r="G23" i="9"/>
  <c r="H23" i="9"/>
  <c r="E11" i="9"/>
  <c r="F11" i="9"/>
  <c r="G11" i="9"/>
  <c r="H11" i="9"/>
  <c r="D11" i="9"/>
  <c r="N17" i="3"/>
  <c r="N18" i="3"/>
  <c r="N19" i="3"/>
  <c r="N20" i="3"/>
  <c r="N21" i="3"/>
  <c r="N22" i="3"/>
  <c r="N23" i="3"/>
  <c r="N16" i="3"/>
  <c r="M17" i="3"/>
  <c r="M18" i="3"/>
  <c r="M19" i="3"/>
  <c r="M20" i="3"/>
  <c r="M21" i="3"/>
  <c r="M22" i="3"/>
  <c r="M23" i="3"/>
  <c r="M16" i="3"/>
  <c r="M15" i="3"/>
  <c r="L17" i="3"/>
  <c r="L18" i="3"/>
  <c r="L19" i="3"/>
  <c r="L20" i="3"/>
  <c r="L21" i="3"/>
  <c r="L22" i="3"/>
  <c r="L23" i="3"/>
  <c r="L16" i="3"/>
  <c r="N15" i="3"/>
  <c r="L15" i="3"/>
  <c r="K23" i="3"/>
  <c r="K16" i="3"/>
  <c r="K17" i="3"/>
  <c r="K18" i="3"/>
  <c r="K19" i="3"/>
  <c r="K20" i="3"/>
  <c r="K21" i="3"/>
  <c r="K22" i="3"/>
  <c r="K15" i="3"/>
  <c r="H23" i="3"/>
  <c r="H22" i="3"/>
  <c r="H21" i="3"/>
  <c r="I23" i="3"/>
  <c r="I22" i="3"/>
  <c r="I21" i="3"/>
  <c r="I20" i="3"/>
  <c r="H20" i="3"/>
  <c r="H19" i="3"/>
  <c r="I19" i="3"/>
  <c r="G20" i="3"/>
  <c r="G21" i="3"/>
  <c r="G22" i="3"/>
  <c r="G23" i="3"/>
  <c r="G19" i="3"/>
  <c r="K504" i="2"/>
  <c r="J504" i="2"/>
  <c r="N504" i="2"/>
  <c r="L504" i="2"/>
  <c r="M55" i="3" l="1"/>
  <c r="M56" i="3" s="1"/>
  <c r="M37" i="3"/>
  <c r="M38" i="3" s="1"/>
  <c r="M46" i="3"/>
  <c r="M47" i="3" s="1"/>
</calcChain>
</file>

<file path=xl/sharedStrings.xml><?xml version="1.0" encoding="utf-8"?>
<sst xmlns="http://schemas.openxmlformats.org/spreadsheetml/2006/main" count="4179" uniqueCount="107">
  <si>
    <t>Date</t>
  </si>
  <si>
    <t>Region</t>
  </si>
  <si>
    <t>Category</t>
  </si>
  <si>
    <t>Sales Rep</t>
  </si>
  <si>
    <t>Units Sold</t>
  </si>
  <si>
    <t>Unit Price</t>
  </si>
  <si>
    <t>Revenue</t>
  </si>
  <si>
    <t>Cost</t>
  </si>
  <si>
    <t>Profit</t>
  </si>
  <si>
    <t>Western Nigeria</t>
  </si>
  <si>
    <t>Diafast</t>
  </si>
  <si>
    <t>Diabetes Care</t>
  </si>
  <si>
    <t>Mohammed Bello</t>
  </si>
  <si>
    <t>Northern Nigeria</t>
  </si>
  <si>
    <t>CardioVex</t>
  </si>
  <si>
    <t>Cardiovascular</t>
  </si>
  <si>
    <t>Grace Umeh</t>
  </si>
  <si>
    <t>Eastern Nigeria</t>
  </si>
  <si>
    <t>Heartzol</t>
  </si>
  <si>
    <t>Jane Akins</t>
  </si>
  <si>
    <t>Maxilin</t>
  </si>
  <si>
    <t>Antibiotic</t>
  </si>
  <si>
    <t>Laila Hussein</t>
  </si>
  <si>
    <t>Southern Nigeria</t>
  </si>
  <si>
    <t>Emeka Obi</t>
  </si>
  <si>
    <t>Neuroflex</t>
  </si>
  <si>
    <t>Pain Relief</t>
  </si>
  <si>
    <t>Relipain</t>
  </si>
  <si>
    <t>Zymetra</t>
  </si>
  <si>
    <t>Glucorin</t>
  </si>
  <si>
    <t xml:space="preserve">  Drug Name</t>
  </si>
  <si>
    <t>REP/001</t>
  </si>
  <si>
    <t>REP/002</t>
  </si>
  <si>
    <t>REP/003</t>
  </si>
  <si>
    <t>REP/004</t>
  </si>
  <si>
    <t>REP/005</t>
  </si>
  <si>
    <t>SALES REP ID</t>
  </si>
  <si>
    <t>Region ID</t>
  </si>
  <si>
    <t>WN/101</t>
  </si>
  <si>
    <t>NN/101</t>
  </si>
  <si>
    <t>EN/101</t>
  </si>
  <si>
    <t>SN/101</t>
  </si>
  <si>
    <t>DRUG ID</t>
  </si>
  <si>
    <t>CAT-DIAB</t>
  </si>
  <si>
    <t>CAT-CARD</t>
  </si>
  <si>
    <t>CAT-ANBX</t>
  </si>
  <si>
    <t>CAT-PAIN</t>
  </si>
  <si>
    <t>Category ID</t>
  </si>
  <si>
    <t>DIA</t>
  </si>
  <si>
    <t>CAR</t>
  </si>
  <si>
    <t>HEA</t>
  </si>
  <si>
    <t>MAX</t>
  </si>
  <si>
    <t>NEU</t>
  </si>
  <si>
    <t>REL</t>
  </si>
  <si>
    <t>ZYM</t>
  </si>
  <si>
    <t>GLU</t>
  </si>
  <si>
    <t>Column Labels</t>
  </si>
  <si>
    <t>Jan</t>
  </si>
  <si>
    <t>Feb</t>
  </si>
  <si>
    <t>Mar</t>
  </si>
  <si>
    <t>Apr</t>
  </si>
  <si>
    <t>May</t>
  </si>
  <si>
    <t>Jun</t>
  </si>
  <si>
    <t>Jul</t>
  </si>
  <si>
    <t>Aug</t>
  </si>
  <si>
    <t>Sep</t>
  </si>
  <si>
    <t>Oct</t>
  </si>
  <si>
    <t>Nov</t>
  </si>
  <si>
    <t>Dec</t>
  </si>
  <si>
    <t>Row Labels</t>
  </si>
  <si>
    <t>Revenue Trend</t>
  </si>
  <si>
    <t>Sum of Units Sold</t>
  </si>
  <si>
    <t>Revenue &amp; Unit Sold by Rep_ID</t>
  </si>
  <si>
    <t/>
  </si>
  <si>
    <t>Drug Category by Revenue</t>
  </si>
  <si>
    <t>Seasonal Drug Demand Pattern</t>
  </si>
  <si>
    <t>Regional Health Trend</t>
  </si>
  <si>
    <t>Year</t>
  </si>
  <si>
    <t>Total_Revenue</t>
  </si>
  <si>
    <t>Growth %</t>
  </si>
  <si>
    <t>Region Revenue</t>
  </si>
  <si>
    <t>Monthly Revenue</t>
  </si>
  <si>
    <t>Category Revenue</t>
  </si>
  <si>
    <t>Quantity Sold</t>
  </si>
  <si>
    <t>Months</t>
  </si>
  <si>
    <t>Sum of Uni</t>
  </si>
  <si>
    <t>Sales Rep ID</t>
  </si>
  <si>
    <t>Rep.Revenue</t>
  </si>
  <si>
    <t>Regional Profit</t>
  </si>
  <si>
    <t>Drug Name</t>
  </si>
  <si>
    <t>Rep.Quantity Sold</t>
  </si>
  <si>
    <t>Quantity_Sold</t>
  </si>
  <si>
    <t>Total_Profit</t>
  </si>
  <si>
    <t>Revenue Distribution by Region</t>
  </si>
  <si>
    <t>Regional Quantity vs Profit Comparison</t>
  </si>
  <si>
    <t>Drug Brand Performance</t>
  </si>
  <si>
    <t>2024</t>
  </si>
  <si>
    <t>2025</t>
  </si>
  <si>
    <t>Total Revenue</t>
  </si>
  <si>
    <t>S_rep Revenue</t>
  </si>
  <si>
    <t>Qty. Sold</t>
  </si>
  <si>
    <t>p.Year</t>
  </si>
  <si>
    <t>R.Year</t>
  </si>
  <si>
    <t>q.Year</t>
  </si>
  <si>
    <t>Profit2</t>
  </si>
  <si>
    <t>QtySold</t>
  </si>
  <si>
    <t>SumProfit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</si>
</sst>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quot;$&quot;0.0,&quot;K&quot;"/>
    <numFmt numFmtId="165" formatCode="&quot;$&quot;0.0,,&quot;M&quot;"/>
    <numFmt numFmtId="166" formatCode="&quot;$&quot;0"/>
    <numFmt numFmtId="167" formatCode="&quot;$&quot;#,##0"/>
    <numFmt numFmtId="168" formatCode="&quot;$&quot;0.00,,&quot;M&quot;"/>
  </numFmts>
  <fonts count="6" x14ac:knownFonts="1">
    <font>
      <sz val="11"/>
      <color theme="1"/>
      <name val="Aptos Narrow"/>
      <family val="2"/>
      <scheme val="minor"/>
    </font>
    <font>
      <sz val="11"/>
      <color theme="1"/>
      <name val="Aptos Narrow"/>
      <family val="2"/>
      <scheme val="minor"/>
    </font>
    <font>
      <b/>
      <sz val="11"/>
      <color theme="1"/>
      <name val="Aptos Narrow"/>
      <family val="2"/>
      <scheme val="minor"/>
    </font>
    <font>
      <sz val="11"/>
      <color rgb="FF000000"/>
      <name val="Aptos Narrow"/>
      <family val="2"/>
      <scheme val="minor"/>
    </font>
    <font>
      <b/>
      <sz val="11"/>
      <color theme="0"/>
      <name val="Aptos Narrow"/>
      <family val="2"/>
      <scheme val="minor"/>
    </font>
    <font>
      <sz val="11"/>
      <color theme="0"/>
      <name val="Aptos Narrow"/>
      <family val="2"/>
      <scheme val="minor"/>
    </font>
  </fonts>
  <fills count="9">
    <fill>
      <patternFill patternType="none"/>
    </fill>
    <fill>
      <patternFill patternType="gray125"/>
    </fill>
    <fill>
      <patternFill patternType="solid">
        <fgColor theme="3" tint="0.749992370372631"/>
        <bgColor indexed="64"/>
      </patternFill>
    </fill>
    <fill>
      <patternFill patternType="solid">
        <fgColor rgb="FF082040"/>
        <bgColor indexed="64"/>
      </patternFill>
    </fill>
    <fill>
      <patternFill patternType="solid">
        <fgColor rgb="FFEBEBF2"/>
        <bgColor indexed="64"/>
      </patternFill>
    </fill>
    <fill>
      <patternFill patternType="solid">
        <fgColor rgb="FF4F5F80"/>
        <bgColor indexed="64"/>
      </patternFill>
    </fill>
    <fill>
      <patternFill patternType="solid">
        <fgColor rgb="FFB3BDCD"/>
        <bgColor indexed="64"/>
      </patternFill>
    </fill>
    <fill>
      <patternFill patternType="solid">
        <fgColor theme="4" tint="0.79998168889431442"/>
        <bgColor theme="4" tint="0.79998168889431442"/>
      </patternFill>
    </fill>
    <fill>
      <patternFill patternType="solid">
        <fgColor theme="4"/>
        <bgColor theme="4"/>
      </patternFill>
    </fill>
  </fills>
  <borders count="7">
    <border>
      <left/>
      <right/>
      <top/>
      <bottom/>
      <diagonal/>
    </border>
    <border>
      <left/>
      <right/>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right/>
      <top style="thin">
        <color theme="4" tint="0.39997558519241921"/>
      </top>
      <bottom/>
      <diagonal/>
    </border>
    <border>
      <left/>
      <right style="thin">
        <color theme="4" tint="0.39997558519241921"/>
      </right>
      <top style="thin">
        <color theme="4" tint="0.39997558519241921"/>
      </top>
      <bottom/>
      <diagonal/>
    </border>
    <border>
      <left/>
      <right style="thin">
        <color theme="4" tint="0.39997558519241921"/>
      </right>
      <top/>
      <bottom/>
      <diagonal/>
    </border>
    <border>
      <left style="thin">
        <color theme="4" tint="0.39997558519241921"/>
      </left>
      <right/>
      <top/>
      <bottom style="thin">
        <color theme="4" tint="0.39997558519241921"/>
      </bottom>
      <diagonal/>
    </border>
  </borders>
  <cellStyleXfs count="2">
    <xf numFmtId="0" fontId="0" fillId="0" borderId="0"/>
    <xf numFmtId="9" fontId="1" fillId="0" borderId="0" applyFont="0" applyFill="0" applyBorder="0" applyAlignment="0" applyProtection="0"/>
  </cellStyleXfs>
  <cellXfs count="48">
    <xf numFmtId="0" fontId="0" fillId="0" borderId="0" xfId="0"/>
    <xf numFmtId="9" fontId="0" fillId="0" borderId="0" xfId="1" applyFont="1"/>
    <xf numFmtId="14" fontId="0" fillId="0" borderId="0" xfId="0" applyNumberFormat="1"/>
    <xf numFmtId="2" fontId="0" fillId="0" borderId="0" xfId="0" applyNumberFormat="1"/>
    <xf numFmtId="1" fontId="0" fillId="0" borderId="0" xfId="0" applyNumberFormat="1"/>
    <xf numFmtId="0" fontId="0" fillId="0" borderId="0" xfId="0" pivotButton="1"/>
    <xf numFmtId="0" fontId="0" fillId="0" borderId="0" xfId="0" applyAlignment="1">
      <alignment horizontal="left"/>
    </xf>
    <xf numFmtId="0" fontId="0" fillId="3" borderId="0" xfId="0" applyFill="1"/>
    <xf numFmtId="0" fontId="0" fillId="3" borderId="0" xfId="0" quotePrefix="1" applyFill="1"/>
    <xf numFmtId="3" fontId="0" fillId="0" borderId="0" xfId="0" applyNumberFormat="1"/>
    <xf numFmtId="167" fontId="0" fillId="0" borderId="0" xfId="0" applyNumberFormat="1"/>
    <xf numFmtId="168" fontId="0" fillId="0" borderId="0" xfId="0" applyNumberFormat="1"/>
    <xf numFmtId="164" fontId="0" fillId="0" borderId="0" xfId="0" applyNumberFormat="1"/>
    <xf numFmtId="0" fontId="2" fillId="4" borderId="0" xfId="0" applyFont="1" applyFill="1" applyAlignment="1">
      <alignment horizontal="center"/>
    </xf>
    <xf numFmtId="3" fontId="2" fillId="4" borderId="0" xfId="0" applyNumberFormat="1" applyFont="1" applyFill="1" applyAlignment="1">
      <alignment horizontal="center"/>
    </xf>
    <xf numFmtId="0" fontId="4" fillId="5" borderId="0" xfId="0" applyFont="1" applyFill="1" applyAlignment="1">
      <alignment horizontal="center"/>
    </xf>
    <xf numFmtId="3" fontId="4" fillId="5" borderId="0" xfId="0" applyNumberFormat="1" applyFont="1" applyFill="1" applyAlignment="1">
      <alignment horizontal="center"/>
    </xf>
    <xf numFmtId="0" fontId="0" fillId="6" borderId="0" xfId="0" applyFill="1"/>
    <xf numFmtId="0" fontId="0" fillId="6" borderId="0" xfId="0" quotePrefix="1" applyFill="1"/>
    <xf numFmtId="0" fontId="5" fillId="0" borderId="0" xfId="0" applyFont="1"/>
    <xf numFmtId="165" fontId="0" fillId="0" borderId="0" xfId="0" applyNumberFormat="1"/>
    <xf numFmtId="10" fontId="0" fillId="0" borderId="0" xfId="0" applyNumberFormat="1"/>
    <xf numFmtId="0" fontId="0" fillId="7" borderId="2" xfId="0" applyFill="1" applyBorder="1"/>
    <xf numFmtId="14" fontId="0" fillId="7" borderId="3" xfId="0" applyNumberFormat="1" applyFill="1" applyBorder="1"/>
    <xf numFmtId="0" fontId="0" fillId="7" borderId="3" xfId="0" applyFill="1" applyBorder="1"/>
    <xf numFmtId="1" fontId="0" fillId="7" borderId="3" xfId="0" applyNumberFormat="1" applyFill="1" applyBorder="1"/>
    <xf numFmtId="0" fontId="0" fillId="7" borderId="3" xfId="0" applyFill="1" applyBorder="1" applyAlignment="1">
      <alignment horizontal="center"/>
    </xf>
    <xf numFmtId="0" fontId="0" fillId="7" borderId="4" xfId="0" applyFill="1" applyBorder="1"/>
    <xf numFmtId="14" fontId="0" fillId="0" borderId="3" xfId="0" applyNumberFormat="1" applyBorder="1"/>
    <xf numFmtId="0" fontId="0" fillId="0" borderId="3" xfId="0" applyBorder="1"/>
    <xf numFmtId="1" fontId="0" fillId="0" borderId="3" xfId="0" applyNumberFormat="1" applyBorder="1"/>
    <xf numFmtId="0" fontId="0" fillId="0" borderId="3" xfId="0" applyBorder="1" applyAlignment="1">
      <alignment horizontal="center"/>
    </xf>
    <xf numFmtId="0" fontId="0" fillId="0" borderId="4" xfId="0" applyBorder="1"/>
    <xf numFmtId="0" fontId="3" fillId="0" borderId="3" xfId="0" applyFont="1" applyBorder="1"/>
    <xf numFmtId="0" fontId="4" fillId="8" borderId="0" xfId="0" applyFont="1" applyFill="1" applyAlignment="1">
      <alignment horizontal="center"/>
    </xf>
    <xf numFmtId="0" fontId="4" fillId="8" borderId="0" xfId="0" applyFont="1" applyFill="1" applyAlignment="1">
      <alignment horizontal="center" vertical="center"/>
    </xf>
    <xf numFmtId="0" fontId="4" fillId="8" borderId="0" xfId="0" applyFont="1" applyFill="1" applyAlignment="1">
      <alignment horizontal="right" vertical="center"/>
    </xf>
    <xf numFmtId="1" fontId="4" fillId="8" borderId="0" xfId="0" applyNumberFormat="1" applyFont="1" applyFill="1" applyAlignment="1">
      <alignment horizontal="center" vertical="center"/>
    </xf>
    <xf numFmtId="2" fontId="4" fillId="8" borderId="0" xfId="0" applyNumberFormat="1" applyFont="1" applyFill="1" applyAlignment="1">
      <alignment horizontal="center" vertical="center"/>
    </xf>
    <xf numFmtId="0" fontId="4" fillId="8" borderId="0" xfId="0" applyFont="1" applyFill="1" applyAlignment="1">
      <alignment horizontal="left" vertical="center"/>
    </xf>
    <xf numFmtId="0" fontId="4" fillId="8" borderId="5" xfId="0" applyFont="1" applyFill="1" applyBorder="1" applyAlignment="1">
      <alignment horizontal="left" vertical="center"/>
    </xf>
    <xf numFmtId="0" fontId="0" fillId="7" borderId="6" xfId="0" applyFill="1" applyBorder="1"/>
    <xf numFmtId="0" fontId="0" fillId="7" borderId="1" xfId="0" applyFill="1" applyBorder="1"/>
    <xf numFmtId="3" fontId="0" fillId="2" borderId="1" xfId="1" applyNumberFormat="1" applyFont="1" applyFill="1" applyBorder="1"/>
    <xf numFmtId="166" fontId="0" fillId="2" borderId="1" xfId="1" applyNumberFormat="1" applyFont="1" applyFill="1" applyBorder="1"/>
    <xf numFmtId="165" fontId="0" fillId="2" borderId="1" xfId="0" applyNumberFormat="1" applyFill="1" applyBorder="1"/>
    <xf numFmtId="164" fontId="0" fillId="2" borderId="1" xfId="0" applyNumberFormat="1" applyFill="1" applyBorder="1"/>
    <xf numFmtId="0" fontId="0" fillId="0" borderId="0" xfId="0"/>
  </cellXfs>
  <cellStyles count="2">
    <cellStyle name="Normal" xfId="0" builtinId="0"/>
    <cellStyle name="Percent" xfId="1" builtinId="5"/>
  </cellStyles>
  <dxfs count="70">
    <dxf>
      <numFmt numFmtId="3" formatCode="#,##0"/>
    </dxf>
    <dxf>
      <numFmt numFmtId="167" formatCode="&quot;$&quot;#,##0"/>
    </dxf>
    <dxf>
      <numFmt numFmtId="3" formatCode="#,##0"/>
    </dxf>
    <dxf>
      <numFmt numFmtId="3" formatCode="#,##0"/>
    </dxf>
    <dxf>
      <numFmt numFmtId="167" formatCode="&quot;$&quot;#,##0"/>
    </dxf>
    <dxf>
      <numFmt numFmtId="3" formatCode="#,##0"/>
    </dxf>
    <dxf>
      <numFmt numFmtId="3" formatCode="#,##0"/>
    </dxf>
    <dxf>
      <numFmt numFmtId="167" formatCode="&quot;$&quot;#,##0"/>
    </dxf>
    <dxf>
      <numFmt numFmtId="3" formatCode="#,##0"/>
    </dxf>
    <dxf>
      <numFmt numFmtId="3" formatCode="#,##0"/>
    </dxf>
    <dxf>
      <numFmt numFmtId="167" formatCode="&quot;$&quot;#,##0"/>
    </dxf>
    <dxf>
      <numFmt numFmtId="3" formatCode="#,##0"/>
    </dxf>
    <dxf>
      <numFmt numFmtId="3" formatCode="#,##0"/>
    </dxf>
    <dxf>
      <numFmt numFmtId="167" formatCode="&quot;$&quot;#,##0"/>
    </dxf>
    <dxf>
      <numFmt numFmtId="3" formatCode="#,##0"/>
    </dxf>
    <dxf>
      <numFmt numFmtId="3" formatCode="#,##0"/>
    </dxf>
    <dxf>
      <numFmt numFmtId="167" formatCode="&quot;$&quot;#,##0"/>
    </dxf>
    <dxf>
      <numFmt numFmtId="3" formatCode="#,##0"/>
    </dxf>
    <dxf>
      <numFmt numFmtId="3" formatCode="#,##0"/>
    </dxf>
    <dxf>
      <numFmt numFmtId="167" formatCode="&quot;$&quot;#,##0"/>
    </dxf>
    <dxf>
      <numFmt numFmtId="3" formatCode="#,##0"/>
    </dxf>
    <dxf>
      <numFmt numFmtId="3" formatCode="#,##0"/>
    </dxf>
    <dxf>
      <numFmt numFmtId="167" formatCode="&quot;$&quot;#,##0"/>
    </dxf>
    <dxf>
      <numFmt numFmtId="3" formatCode="#,##0"/>
    </dxf>
    <dxf>
      <numFmt numFmtId="3" formatCode="#,##0"/>
    </dxf>
    <dxf>
      <numFmt numFmtId="167" formatCode="&quot;$&quot;#,##0"/>
    </dxf>
    <dxf>
      <numFmt numFmtId="3" formatCode="#,##0"/>
    </dxf>
    <dxf>
      <numFmt numFmtId="3" formatCode="#,##0"/>
    </dxf>
    <dxf>
      <numFmt numFmtId="167" formatCode="&quot;$&quot;#,##0"/>
    </dxf>
    <dxf>
      <numFmt numFmtId="3" formatCode="#,##0"/>
    </dxf>
    <dxf>
      <numFmt numFmtId="3" formatCode="#,##0"/>
    </dxf>
    <dxf>
      <numFmt numFmtId="167" formatCode="&quot;$&quot;#,##0"/>
    </dxf>
    <dxf>
      <numFmt numFmtId="3" formatCode="#,##0"/>
    </dxf>
    <dxf>
      <numFmt numFmtId="3" formatCode="#,##0"/>
    </dxf>
    <dxf>
      <numFmt numFmtId="167" formatCode="&quot;$&quot;#,##0"/>
    </dxf>
    <dxf>
      <numFmt numFmtId="3" formatCode="#,##0"/>
    </dxf>
    <dxf>
      <numFmt numFmtId="167" formatCode="&quot;$&quot;#,##0"/>
    </dxf>
    <dxf>
      <numFmt numFmtId="3" formatCode="#,##0"/>
    </dxf>
    <dxf>
      <numFmt numFmtId="3" formatCode="#,##0"/>
    </dxf>
    <dxf>
      <numFmt numFmtId="3" formatCode="#,##0"/>
    </dxf>
    <dxf>
      <numFmt numFmtId="167" formatCode="&quot;$&quot;#,##0"/>
    </dxf>
    <dxf>
      <numFmt numFmtId="3" formatCode="#,##0"/>
    </dxf>
    <dxf>
      <font>
        <b val="0"/>
        <i val="0"/>
        <strike val="0"/>
        <condense val="0"/>
        <extend val="0"/>
        <outline val="0"/>
        <shadow val="0"/>
        <u val="none"/>
        <vertAlign val="baseline"/>
        <sz val="11"/>
        <color theme="1"/>
        <name val="Aptos Narrow"/>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numFmt numFmtId="1" formatCode="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numFmt numFmtId="19" formatCode="m/d/yyyy"/>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numFmt numFmtId="19" formatCode="m/d/yyyy"/>
      <border diagonalUp="0" diagonalDown="0">
        <left/>
        <right/>
        <top style="thin">
          <color theme="4" tint="0.39997558519241921"/>
        </top>
        <bottom/>
        <vertical/>
        <horizontal/>
      </border>
    </dxf>
    <dxf>
      <border outline="0">
        <left style="thin">
          <color theme="4" tint="0.39997558519241921"/>
        </left>
        <top style="thin">
          <color theme="4" tint="0.39997558519241921"/>
        </top>
        <bottom style="thin">
          <color theme="4" tint="0.39997558519241921"/>
        </bottom>
      </border>
    </dxf>
    <dxf>
      <font>
        <b val="0"/>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0"/>
        <name val="Aptos Narrow"/>
        <family val="2"/>
        <scheme val="minor"/>
      </font>
      <fill>
        <patternFill patternType="solid">
          <fgColor theme="4"/>
          <bgColor theme="4"/>
        </patternFill>
      </fill>
      <alignment horizontal="left" vertical="center" textRotation="0" wrapText="0" indent="0" justifyLastLine="0" shrinkToFit="0" readingOrder="0"/>
    </dxf>
    <dxf>
      <font>
        <sz val="13"/>
        <color theme="0"/>
      </font>
      <border>
        <bottom style="thin">
          <color theme="4"/>
        </bottom>
        <vertical/>
        <horizontal/>
      </border>
    </dxf>
    <dxf>
      <font>
        <color theme="1"/>
      </font>
      <fill>
        <patternFill>
          <bgColor rgb="FF4F5F80"/>
        </patternFill>
      </fill>
      <border diagonalUp="0" diagonalDown="0">
        <left style="medium">
          <color auto="1"/>
        </left>
        <right style="medium">
          <color auto="1"/>
        </right>
        <top style="medium">
          <color auto="1"/>
        </top>
        <bottom style="medium">
          <color auto="1"/>
        </bottom>
        <vertical/>
        <horizontal style="medium">
          <color auto="1"/>
        </horizontal>
      </border>
    </dxf>
    <dxf>
      <font>
        <sz val="13"/>
        <color theme="0"/>
      </font>
      <border>
        <bottom style="thin">
          <color theme="4"/>
        </bottom>
        <vertical/>
        <horizontal/>
      </border>
    </dxf>
    <dxf>
      <font>
        <color theme="1"/>
      </font>
      <fill>
        <patternFill>
          <bgColor rgb="FF4F5F80"/>
        </patternFill>
      </fill>
      <border diagonalUp="0" diagonalDown="0">
        <left style="medium">
          <color auto="1"/>
        </left>
        <right style="medium">
          <color auto="1"/>
        </right>
        <top style="medium">
          <color auto="1"/>
        </top>
        <bottom style="medium">
          <color auto="1"/>
        </bottom>
        <vertical/>
        <horizontal style="medium">
          <color auto="1"/>
        </horizontal>
      </border>
    </dxf>
  </dxfs>
  <tableStyles count="2" defaultTableStyle="TableStyleMedium2" defaultPivotStyle="PivotStyleLight16">
    <tableStyle name="New" pivot="0" table="0" count="10" xr9:uid="{99E436F3-6E16-4593-A49A-77A7D3DF9D9E}">
      <tableStyleElement type="wholeTable" dxfId="69"/>
      <tableStyleElement type="headerRow" dxfId="68"/>
    </tableStyle>
    <tableStyle name="New 2" pivot="0" table="0" count="10" xr9:uid="{5ACE9F7A-5204-4DCB-9255-4DF53E558972}">
      <tableStyleElement type="wholeTable" dxfId="67"/>
      <tableStyleElement type="headerRow" dxfId="66"/>
    </tableStyle>
  </tableStyles>
  <colors>
    <mruColors>
      <color rgb="FFEBEBF2"/>
      <color rgb="FF4F5F79"/>
      <color rgb="FF4F5F60"/>
      <color rgb="FF4F5F66"/>
      <color rgb="FF4F5F80"/>
      <color rgb="FF082040"/>
      <color rgb="FFB3BDCD"/>
      <color rgb="FF8091AC"/>
      <color rgb="FF4F5F74"/>
      <color rgb="FF4F5F77"/>
    </mruColors>
  </colors>
  <extLst>
    <ext xmlns:x14="http://schemas.microsoft.com/office/spreadsheetml/2009/9/main" uri="{46F421CA-312F-682f-3DD2-61675219B42D}">
      <x14:dxfs count="16">
        <dxf>
          <font>
            <color rgb="FF000000"/>
          </font>
          <fill>
            <patternFill patternType="solid">
              <fgColor rgb="FF4F5F79"/>
              <bgColor auto="1"/>
            </patternFill>
          </fill>
          <border diagonalUp="0" diagonalDown="0">
            <left/>
            <right/>
            <top/>
            <bottom/>
            <vertical/>
            <horizontal/>
          </border>
        </dxf>
        <dxf>
          <font>
            <color rgb="FF000000"/>
          </font>
          <fill>
            <patternFill patternType="solid">
              <fgColor rgb="FF4F5F60"/>
              <bgColor auto="1"/>
            </patternFill>
          </fill>
          <border diagonalUp="0" diagonalDown="0">
            <left/>
            <right/>
            <top/>
            <bottom/>
            <vertical/>
            <horizontal/>
          </border>
        </dxf>
        <dxf>
          <font>
            <color theme="0"/>
          </font>
          <fill>
            <patternFill patternType="solid">
              <fgColor auto="1"/>
              <bgColor theme="3"/>
            </patternFill>
          </fill>
          <border diagonalUp="0" diagonalDown="0">
            <left/>
            <right/>
            <top/>
            <bottom/>
            <vertical/>
            <horizontal/>
          </border>
        </dxf>
        <dxf>
          <font>
            <strike val="0"/>
            <color rgb="FF000000"/>
          </font>
          <fill>
            <patternFill patternType="solid">
              <fgColor rgb="FF4F5F66"/>
              <bgColor auto="1"/>
            </patternFill>
          </fill>
          <border diagonalUp="0" diagonalDown="0">
            <left/>
            <right/>
            <top/>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rgb="FFEBEBF2"/>
            </patternFill>
          </fill>
          <border>
            <left style="thin">
              <color rgb="FF999999"/>
            </left>
            <right style="thin">
              <color rgb="FF999999"/>
            </right>
            <top style="thin">
              <color rgb="FF999999"/>
            </top>
            <bottom style="thin">
              <color rgb="FF999999"/>
            </bottom>
            <vertical/>
            <horizontal/>
          </border>
        </dxf>
        <dxf>
          <font>
            <color theme="1"/>
          </font>
          <fill>
            <patternFill patternType="solid">
              <fgColor rgb="FFFFFFFF"/>
              <bgColor rgb="FFEBEBF2"/>
            </patternFill>
          </fill>
          <border>
            <left style="thin">
              <color rgb="FFE0E0E0"/>
            </left>
            <right style="thin">
              <color rgb="FFE0E0E0"/>
            </right>
            <top style="thin">
              <color rgb="FFE0E0E0"/>
            </top>
            <bottom style="thin">
              <color rgb="FFE0E0E0"/>
            </bottom>
            <vertical/>
            <horizontal/>
          </border>
        </dxf>
        <dxf>
          <font>
            <color rgb="FFEBEBF2"/>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rgb="FF4F5F79"/>
              <bgColor auto="1"/>
            </patternFill>
          </fill>
          <border diagonalUp="0" diagonalDown="0">
            <left/>
            <right/>
            <top/>
            <bottom/>
            <vertical/>
            <horizontal/>
          </border>
        </dxf>
        <dxf>
          <font>
            <color rgb="FF000000"/>
          </font>
          <fill>
            <patternFill patternType="solid">
              <fgColor rgb="FF4F5F60"/>
              <bgColor auto="1"/>
            </patternFill>
          </fill>
          <border diagonalUp="0" diagonalDown="0">
            <left/>
            <right/>
            <top/>
            <bottom/>
            <vertical/>
            <horizontal/>
          </border>
        </dxf>
        <dxf>
          <font>
            <color theme="0"/>
          </font>
          <fill>
            <patternFill patternType="solid">
              <fgColor auto="1"/>
              <bgColor theme="3"/>
            </patternFill>
          </fill>
          <border diagonalUp="0" diagonalDown="0">
            <left/>
            <right/>
            <top/>
            <bottom/>
            <vertical/>
            <horizontal/>
          </border>
        </dxf>
        <dxf>
          <font>
            <strike val="0"/>
            <color rgb="FF000000"/>
          </font>
          <fill>
            <patternFill patternType="solid">
              <fgColor rgb="FF4F5F66"/>
              <bgColor auto="1"/>
            </patternFill>
          </fill>
          <border diagonalUp="0" diagonalDown="0">
            <left/>
            <right/>
            <top/>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rgb="FFEBEBF2"/>
            </patternFill>
          </fill>
          <border>
            <left style="thin">
              <color rgb="FF999999"/>
            </left>
            <right style="thin">
              <color rgb="FF999999"/>
            </right>
            <top style="thin">
              <color rgb="FF999999"/>
            </top>
            <bottom style="thin">
              <color rgb="FF999999"/>
            </bottom>
            <vertical/>
            <horizontal/>
          </border>
        </dxf>
        <dxf>
          <font>
            <color theme="1"/>
          </font>
          <fill>
            <patternFill patternType="solid">
              <fgColor rgb="FFFFFFFF"/>
              <bgColor rgb="FFEBEBF2"/>
            </patternFill>
          </fill>
          <border>
            <left style="thin">
              <color rgb="FFE0E0E0"/>
            </left>
            <right style="thin">
              <color rgb="FFE0E0E0"/>
            </right>
            <top style="thin">
              <color rgb="FFE0E0E0"/>
            </top>
            <bottom style="thin">
              <color rgb="FFE0E0E0"/>
            </bottom>
            <vertical/>
            <horizontal/>
          </border>
        </dxf>
        <dxf>
          <font>
            <color rgb="FFEBEBF2"/>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New">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New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[Dirty pharmacy datasets Analysis.xlsx]Pivot!PivotTable1</c:name>
    <c:fmtId val="3"/>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082040"/>
            </a:solidFill>
            <a:round/>
          </a:ln>
          <a:effectLst/>
        </c:spPr>
        <c:marker>
          <c:symbol val="diamond"/>
          <c:size val="5"/>
          <c:spPr>
            <a:solidFill>
              <a:schemeClr val="accent1"/>
            </a:solidFill>
            <a:ln w="9525">
              <a:solidFill>
                <a:srgbClr val="08204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rgbClr val="082040"/>
            </a:solidFill>
            <a:round/>
          </a:ln>
          <a:effectLst/>
        </c:spPr>
        <c:marker>
          <c:symbol val="diamond"/>
          <c:size val="5"/>
          <c:spPr>
            <a:solidFill>
              <a:schemeClr val="accent1"/>
            </a:solidFill>
            <a:ln w="9525">
              <a:solidFill>
                <a:srgbClr val="082040"/>
              </a:solidFill>
            </a:ln>
            <a:effectLst/>
          </c:spPr>
        </c:marker>
      </c:pivotFmt>
    </c:pivotFmts>
    <c:plotArea>
      <c:layout>
        <c:manualLayout>
          <c:layoutTarget val="inner"/>
          <c:xMode val="edge"/>
          <c:yMode val="edge"/>
          <c:x val="2.1900935213697448E-2"/>
          <c:y val="0.17397764424153492"/>
          <c:w val="0.96880474288514784"/>
          <c:h val="0.69809346424685648"/>
        </c:manualLayout>
      </c:layout>
      <c:lineChart>
        <c:grouping val="standard"/>
        <c:varyColors val="0"/>
        <c:ser>
          <c:idx val="0"/>
          <c:order val="0"/>
          <c:tx>
            <c:strRef>
              <c:f>Pivot!$B$3</c:f>
              <c:strCache>
                <c:ptCount val="1"/>
                <c:pt idx="0">
                  <c:v>Total</c:v>
                </c:pt>
              </c:strCache>
            </c:strRef>
          </c:tx>
          <c:spPr>
            <a:ln w="28575" cap="rnd">
              <a:solidFill>
                <a:srgbClr val="082040"/>
              </a:solidFill>
              <a:round/>
            </a:ln>
            <a:effectLst/>
          </c:spPr>
          <c:marker>
            <c:symbol val="diamond"/>
            <c:size val="5"/>
            <c:spPr>
              <a:solidFill>
                <a:schemeClr val="accent1"/>
              </a:solidFill>
              <a:ln w="9525">
                <a:solidFill>
                  <a:srgbClr val="082040"/>
                </a:solidFill>
              </a:ln>
              <a:effectLst/>
            </c:spPr>
          </c:marker>
          <c:trendline>
            <c:spPr>
              <a:ln w="19050" cap="rnd">
                <a:solidFill>
                  <a:schemeClr val="accent1"/>
                </a:solidFill>
                <a:prstDash val="sysDot"/>
              </a:ln>
              <a:effectLst/>
            </c:spPr>
            <c:trendlineType val="linear"/>
            <c:dispRSqr val="0"/>
            <c:dispEq val="0"/>
          </c:trendline>
          <c:cat>
            <c:strRef>
              <c:f>Pivot!$A$4:$A$15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Pivot!$B$4:$B$15</c:f>
              <c:numCache>
                <c:formatCode>"$"#,##0</c:formatCode>
                <c:ptCount val="12"/>
                <c:pt idx="0">
                  <c:v>344620</c:v>
                </c:pt>
                <c:pt idx="1">
                  <c:v>427535</c:v>
                </c:pt>
                <c:pt idx="2">
                  <c:v>436806</c:v>
                </c:pt>
                <c:pt idx="3">
                  <c:v>382127</c:v>
                </c:pt>
                <c:pt idx="4">
                  <c:v>514282</c:v>
                </c:pt>
                <c:pt idx="5">
                  <c:v>209973</c:v>
                </c:pt>
                <c:pt idx="6">
                  <c:v>203434</c:v>
                </c:pt>
                <c:pt idx="7">
                  <c:v>212044</c:v>
                </c:pt>
                <c:pt idx="8">
                  <c:v>209534</c:v>
                </c:pt>
                <c:pt idx="9">
                  <c:v>228212</c:v>
                </c:pt>
                <c:pt idx="10">
                  <c:v>209176</c:v>
                </c:pt>
                <c:pt idx="11">
                  <c:v>236022</c:v>
                </c:pt>
              </c:numCache>
            </c:numRef>
          </c:val>
          <c:smooth val="1"/>
          <c:extLst>
            <c:ext xmlns:c16="http://schemas.microsoft.com/office/drawing/2014/chart" uri="{C3380CC4-5D6E-409C-BE32-E72D297353CC}">
              <c16:uniqueId val="{00000000-C2A8-4677-916B-F0C677F0E161}"/>
            </c:ext>
          </c:extLst>
        </c:ser>
        <c:dLbls>
          <c:showLegendKey val="0"/>
          <c:showVal val="0"/>
          <c:showCatName val="0"/>
          <c:showSerName val="0"/>
          <c:showPercent val="0"/>
          <c:showBubbleSize val="0"/>
        </c:dLbls>
        <c:marker val="1"/>
        <c:smooth val="0"/>
        <c:axId val="423961552"/>
        <c:axId val="423956752"/>
      </c:lineChart>
      <c:catAx>
        <c:axId val="423961552"/>
        <c:scaling>
          <c:orientation val="minMax"/>
        </c:scaling>
        <c:delete val="0"/>
        <c:axPos val="b"/>
        <c:numFmt formatCode="General" sourceLinked="1"/>
        <c:majorTickMark val="none"/>
        <c:minorTickMark val="none"/>
        <c:tickLblPos val="nextTo"/>
        <c:spPr>
          <a:noFill/>
          <a:ln w="9525" cap="flat" cmpd="sng" algn="ctr">
            <a:solidFill>
              <a:schemeClr val="accent1"/>
            </a:solidFill>
            <a:round/>
          </a:ln>
          <a:effectLst/>
        </c:spPr>
        <c:txPr>
          <a:bodyPr rot="-60000000" spcFirstLastPara="1" vertOverflow="ellipsis" vert="horz" wrap="square" anchor="ctr" anchorCtr="1"/>
          <a:lstStyle/>
          <a:p>
            <a:pPr>
              <a:defRPr sz="900" b="0" i="0" u="none" strike="noStrike" kern="1200" baseline="0">
                <a:solidFill>
                  <a:srgbClr val="000000"/>
                </a:solidFill>
                <a:latin typeface="+mn-lt"/>
                <a:ea typeface="+mn-ea"/>
                <a:cs typeface="+mn-cs"/>
              </a:defRPr>
            </a:pPr>
            <a:endParaRPr lang="en-US"/>
          </a:p>
        </c:txPr>
        <c:crossAx val="423956752"/>
        <c:crosses val="autoZero"/>
        <c:auto val="1"/>
        <c:lblAlgn val="ctr"/>
        <c:lblOffset val="100"/>
        <c:noMultiLvlLbl val="0"/>
      </c:catAx>
      <c:valAx>
        <c:axId val="423956752"/>
        <c:scaling>
          <c:orientation val="minMax"/>
          <c:min val="100000"/>
        </c:scaling>
        <c:delete val="1"/>
        <c:axPos val="l"/>
        <c:numFmt formatCode="&quot;$&quot;0.00,,&quot;M&quot;" sourceLinked="0"/>
        <c:majorTickMark val="none"/>
        <c:minorTickMark val="none"/>
        <c:tickLblPos val="nextTo"/>
        <c:crossAx val="423961552"/>
        <c:crosses val="autoZero"/>
        <c:crossBetween val="between"/>
      </c:valAx>
      <c:spPr>
        <a:noFill/>
        <a:ln cap="rnd">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solidFill>
            <a:srgbClr val="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[Dirty pharmacy datasets Analysis.xlsx]Pivot!PivotTable4</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82040">
              <a:alpha val="89804"/>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094190005005347"/>
          <c:y val="0.17238972917075568"/>
          <c:w val="0.71057377797167232"/>
          <c:h val="0.81501292712432016"/>
        </c:manualLayout>
      </c:layout>
      <c:barChart>
        <c:barDir val="bar"/>
        <c:grouping val="clustered"/>
        <c:varyColors val="0"/>
        <c:ser>
          <c:idx val="0"/>
          <c:order val="0"/>
          <c:tx>
            <c:strRef>
              <c:f>Pivot!$E$4</c:f>
              <c:strCache>
                <c:ptCount val="1"/>
                <c:pt idx="0">
                  <c:v>Total</c:v>
                </c:pt>
              </c:strCache>
            </c:strRef>
          </c:tx>
          <c:spPr>
            <a:solidFill>
              <a:srgbClr val="082040">
                <a:alpha val="89804"/>
              </a:srgb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Pivot!$D$5:$D$8</c:f>
              <c:strCache>
                <c:ptCount val="4"/>
                <c:pt idx="0">
                  <c:v>Cardiovascular</c:v>
                </c:pt>
                <c:pt idx="1">
                  <c:v>Antibiotic</c:v>
                </c:pt>
                <c:pt idx="2">
                  <c:v>Diabetes Care</c:v>
                </c:pt>
                <c:pt idx="3">
                  <c:v>Pain Relief</c:v>
                </c:pt>
              </c:strCache>
            </c:strRef>
          </c:cat>
          <c:val>
            <c:numRef>
              <c:f>Pivot!$E$5:$E$8</c:f>
              <c:numCache>
                <c:formatCode>"$"0.00,,"M"</c:formatCode>
                <c:ptCount val="4"/>
                <c:pt idx="0">
                  <c:v>1008080</c:v>
                </c:pt>
                <c:pt idx="1">
                  <c:v>913319</c:v>
                </c:pt>
                <c:pt idx="2">
                  <c:v>896484</c:v>
                </c:pt>
                <c:pt idx="3">
                  <c:v>795882</c:v>
                </c:pt>
              </c:numCache>
            </c:numRef>
          </c:val>
          <c:extLst>
            <c:ext xmlns:c16="http://schemas.microsoft.com/office/drawing/2014/chart" uri="{C3380CC4-5D6E-409C-BE32-E72D297353CC}">
              <c16:uniqueId val="{00000000-1927-4B74-9D02-DFE23145298D}"/>
            </c:ext>
          </c:extLst>
        </c:ser>
        <c:dLbls>
          <c:dLblPos val="outEnd"/>
          <c:showLegendKey val="0"/>
          <c:showVal val="1"/>
          <c:showCatName val="0"/>
          <c:showSerName val="0"/>
          <c:showPercent val="0"/>
          <c:showBubbleSize val="0"/>
        </c:dLbls>
        <c:gapWidth val="190"/>
        <c:axId val="423933712"/>
        <c:axId val="423934192"/>
      </c:barChart>
      <c:catAx>
        <c:axId val="423933712"/>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423934192"/>
        <c:crosses val="autoZero"/>
        <c:auto val="1"/>
        <c:lblAlgn val="ctr"/>
        <c:lblOffset val="100"/>
        <c:noMultiLvlLbl val="0"/>
      </c:catAx>
      <c:valAx>
        <c:axId val="423934192"/>
        <c:scaling>
          <c:orientation val="minMax"/>
        </c:scaling>
        <c:delete val="1"/>
        <c:axPos val="t"/>
        <c:numFmt formatCode="&quot;$&quot;0.00,,&quot;M&quot;" sourceLinked="1"/>
        <c:majorTickMark val="none"/>
        <c:minorTickMark val="none"/>
        <c:tickLblPos val="nextTo"/>
        <c:crossAx val="4239337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[Dirty pharmacy datasets Analysis.xlsx]Pivot!PivotTable2</c:name>
    <c:fmtId val="4"/>
  </c:pivotSource>
  <c:chart>
    <c:autoTitleDeleted val="0"/>
    <c:pivotFmts>
      <c:pivotFmt>
        <c:idx val="0"/>
        <c:spPr>
          <a:solidFill>
            <a:schemeClr val="accent1"/>
          </a:solidFill>
          <a:ln>
            <a:noFill/>
          </a:ln>
          <a:effectLst/>
        </c:spPr>
        <c:marker>
          <c:symbol val="none"/>
        </c:marker>
        <c:dLbl>
          <c:idx val="0"/>
          <c:numFmt formatCode="&quot;$&quot;0.0,,&quot;M&quot;" sourceLinked="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0,&quot;K&quot;" sourceLinked="0"/>
          <c:spPr>
            <a:noFill/>
            <a:ln>
              <a:noFill/>
            </a:ln>
            <a:effectLst/>
          </c:spPr>
          <c:txPr>
            <a:bodyPr rot="0" spcFirstLastPara="1" vertOverflow="clip" horzOverflow="clip" vert="horz" wrap="square"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quot;$&quot;0.0,,&quot;M&quot;" sourceLinked="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numFmt formatCode="0.0,&quot;K&quot;" sourceLinked="0"/>
          <c:spPr>
            <a:noFill/>
            <a:ln>
              <a:noFill/>
            </a:ln>
            <a:effectLst/>
          </c:spPr>
          <c:txPr>
            <a:bodyPr rot="0" spcFirstLastPara="1" vertOverflow="clip" horzOverflow="clip" vert="horz" wrap="square"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82040">
              <a:alpha val="89804"/>
            </a:srgbClr>
          </a:solidFill>
          <a:ln>
            <a:noFill/>
          </a:ln>
          <a:effectLst/>
        </c:spPr>
        <c:marker>
          <c:symbol val="none"/>
        </c:marker>
        <c:dLbl>
          <c:idx val="0"/>
          <c:numFmt formatCode="&quot;$&quot;0.0,,&quot;M&quot;" sourceLinked="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70C0"/>
          </a:solidFill>
          <a:ln>
            <a:noFill/>
          </a:ln>
          <a:effectLst/>
        </c:spPr>
        <c:marker>
          <c:symbol val="none"/>
        </c:marker>
        <c:dLbl>
          <c:idx val="0"/>
          <c:numFmt formatCode="0.0,&quot;K&quot;" sourceLinked="0"/>
          <c:spPr>
            <a:noFill/>
            <a:ln>
              <a:noFill/>
            </a:ln>
            <a:effectLst/>
          </c:spPr>
          <c:txPr>
            <a:bodyPr rot="0" spcFirstLastPara="1" vertOverflow="clip" horzOverflow="clip" vert="horz" wrap="square"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1150978181883541E-2"/>
          <c:y val="0.16679314032114065"/>
          <c:w val="0.91769784918616903"/>
          <c:h val="0.7439967867587165"/>
        </c:manualLayout>
      </c:layout>
      <c:barChart>
        <c:barDir val="col"/>
        <c:grouping val="clustered"/>
        <c:varyColors val="0"/>
        <c:ser>
          <c:idx val="0"/>
          <c:order val="0"/>
          <c:tx>
            <c:strRef>
              <c:f>Pivot!$H$4</c:f>
              <c:strCache>
                <c:ptCount val="1"/>
                <c:pt idx="0">
                  <c:v>Rep.Revenue</c:v>
                </c:pt>
              </c:strCache>
            </c:strRef>
          </c:tx>
          <c:spPr>
            <a:solidFill>
              <a:srgbClr val="082040">
                <a:alpha val="89804"/>
              </a:srgbClr>
            </a:solidFill>
            <a:ln>
              <a:noFill/>
            </a:ln>
            <a:effectLst/>
          </c:spPr>
          <c:invertIfNegative val="0"/>
          <c:dLbls>
            <c:numFmt formatCode="&quot;$&quot;0.0,,&quot;M&quot;" sourceLinked="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Pivot!$G$5:$G$9</c:f>
              <c:strCache>
                <c:ptCount val="5"/>
                <c:pt idx="0">
                  <c:v>REP/001</c:v>
                </c:pt>
                <c:pt idx="1">
                  <c:v>REP/002</c:v>
                </c:pt>
                <c:pt idx="2">
                  <c:v>REP/003</c:v>
                </c:pt>
                <c:pt idx="3">
                  <c:v>REP/004</c:v>
                </c:pt>
                <c:pt idx="4">
                  <c:v>REP/005</c:v>
                </c:pt>
              </c:strCache>
            </c:strRef>
          </c:cat>
          <c:val>
            <c:numRef>
              <c:f>Pivot!$H$5:$H$9</c:f>
              <c:numCache>
                <c:formatCode>"$"#,##0</c:formatCode>
                <c:ptCount val="5"/>
                <c:pt idx="0">
                  <c:v>882447</c:v>
                </c:pt>
                <c:pt idx="1">
                  <c:v>757817</c:v>
                </c:pt>
                <c:pt idx="2">
                  <c:v>620995</c:v>
                </c:pt>
                <c:pt idx="3">
                  <c:v>651908</c:v>
                </c:pt>
                <c:pt idx="4">
                  <c:v>700598</c:v>
                </c:pt>
              </c:numCache>
            </c:numRef>
          </c:val>
          <c:extLst>
            <c:ext xmlns:c16="http://schemas.microsoft.com/office/drawing/2014/chart" uri="{C3380CC4-5D6E-409C-BE32-E72D297353CC}">
              <c16:uniqueId val="{00000000-E6D0-4DF4-934F-13E453BFEAC3}"/>
            </c:ext>
          </c:extLst>
        </c:ser>
        <c:ser>
          <c:idx val="1"/>
          <c:order val="1"/>
          <c:tx>
            <c:strRef>
              <c:f>Pivot!$I$4</c:f>
              <c:strCache>
                <c:ptCount val="1"/>
                <c:pt idx="0">
                  <c:v>Rep.Quantity Sold</c:v>
                </c:pt>
              </c:strCache>
            </c:strRef>
          </c:tx>
          <c:spPr>
            <a:solidFill>
              <a:srgbClr val="0070C0"/>
            </a:solidFill>
            <a:ln>
              <a:noFill/>
            </a:ln>
            <a:effectLst/>
          </c:spPr>
          <c:invertIfNegative val="0"/>
          <c:dLbls>
            <c:numFmt formatCode="0.0,&quot;K&quot;" sourceLinked="0"/>
            <c:spPr>
              <a:noFill/>
              <a:ln>
                <a:noFill/>
              </a:ln>
              <a:effectLst/>
            </c:spPr>
            <c:txPr>
              <a:bodyPr rot="0" spcFirstLastPara="1" vertOverflow="clip" horzOverflow="clip" vert="horz" wrap="square"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Pivot!$G$5:$G$9</c:f>
              <c:strCache>
                <c:ptCount val="5"/>
                <c:pt idx="0">
                  <c:v>REP/001</c:v>
                </c:pt>
                <c:pt idx="1">
                  <c:v>REP/002</c:v>
                </c:pt>
                <c:pt idx="2">
                  <c:v>REP/003</c:v>
                </c:pt>
                <c:pt idx="3">
                  <c:v>REP/004</c:v>
                </c:pt>
                <c:pt idx="4">
                  <c:v>REP/005</c:v>
                </c:pt>
              </c:strCache>
            </c:strRef>
          </c:cat>
          <c:val>
            <c:numRef>
              <c:f>Pivot!$I$5:$I$9</c:f>
              <c:numCache>
                <c:formatCode>#,##0</c:formatCode>
                <c:ptCount val="5"/>
                <c:pt idx="0">
                  <c:v>13712</c:v>
                </c:pt>
                <c:pt idx="1">
                  <c:v>11683</c:v>
                </c:pt>
                <c:pt idx="2">
                  <c:v>10230</c:v>
                </c:pt>
                <c:pt idx="3">
                  <c:v>10462</c:v>
                </c:pt>
                <c:pt idx="4">
                  <c:v>9900</c:v>
                </c:pt>
              </c:numCache>
            </c:numRef>
          </c:val>
          <c:extLst>
            <c:ext xmlns:c16="http://schemas.microsoft.com/office/drawing/2014/chart" uri="{C3380CC4-5D6E-409C-BE32-E72D297353CC}">
              <c16:uniqueId val="{00000001-E6D0-4DF4-934F-13E453BFEAC3}"/>
            </c:ext>
          </c:extLst>
        </c:ser>
        <c:dLbls>
          <c:showLegendKey val="0"/>
          <c:showVal val="0"/>
          <c:showCatName val="0"/>
          <c:showSerName val="0"/>
          <c:showPercent val="0"/>
          <c:showBubbleSize val="0"/>
        </c:dLbls>
        <c:gapWidth val="199"/>
        <c:overlap val="-50"/>
        <c:axId val="423913552"/>
        <c:axId val="423930352"/>
      </c:barChart>
      <c:catAx>
        <c:axId val="423913552"/>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423930352"/>
        <c:crosses val="autoZero"/>
        <c:auto val="1"/>
        <c:lblAlgn val="ctr"/>
        <c:lblOffset val="100"/>
        <c:noMultiLvlLbl val="0"/>
      </c:catAx>
      <c:valAx>
        <c:axId val="423930352"/>
        <c:scaling>
          <c:orientation val="minMax"/>
        </c:scaling>
        <c:delete val="1"/>
        <c:axPos val="l"/>
        <c:numFmt formatCode="&quot;$&quot;#,##0" sourceLinked="1"/>
        <c:majorTickMark val="none"/>
        <c:minorTickMark val="none"/>
        <c:tickLblPos val="nextTo"/>
        <c:crossAx val="423913552"/>
        <c:crosses val="autoZero"/>
        <c:crossBetween val="between"/>
      </c:valAx>
      <c:spPr>
        <a:noFill/>
        <a:ln>
          <a:noFill/>
        </a:ln>
        <a:effectLst/>
      </c:spPr>
    </c:plotArea>
    <c:legend>
      <c:legendPos val="t"/>
      <c:layout>
        <c:manualLayout>
          <c:xMode val="edge"/>
          <c:yMode val="edge"/>
          <c:x val="0.1785235670706781"/>
          <c:y val="0.10507951292277069"/>
          <c:w val="0.63542845395418934"/>
          <c:h val="8.443948531132614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9337036277039119"/>
          <c:y val="0.17872749930556925"/>
          <c:w val="0.59639550525538565"/>
          <c:h val="0.63941097043050721"/>
        </c:manualLayout>
      </c:layout>
      <c:scatterChart>
        <c:scatterStyle val="lineMarker"/>
        <c:varyColors val="0"/>
        <c:ser>
          <c:idx val="0"/>
          <c:order val="0"/>
          <c:tx>
            <c:strRef>
              <c:f>Pivot!$G$20</c:f>
              <c:strCache>
                <c:ptCount val="1"/>
                <c:pt idx="0">
                  <c:v>Western Nigeria</c:v>
                </c:pt>
              </c:strCache>
            </c:strRef>
          </c:tx>
          <c:spPr>
            <a:ln w="25400" cap="rnd">
              <a:noFill/>
              <a:round/>
            </a:ln>
            <a:effectLst/>
          </c:spPr>
          <c:marker>
            <c:symbol val="circle"/>
            <c:size val="5"/>
            <c:spPr>
              <a:solidFill>
                <a:schemeClr val="accent3"/>
              </a:solidFill>
              <a:ln w="9525">
                <a:noFill/>
              </a:ln>
              <a:effectLst/>
            </c:spPr>
          </c:marker>
          <c:xVal>
            <c:numRef>
              <c:f>Pivot!$H$20</c:f>
              <c:numCache>
                <c:formatCode>#,##0</c:formatCode>
                <c:ptCount val="1"/>
                <c:pt idx="0">
                  <c:v>14904</c:v>
                </c:pt>
              </c:numCache>
            </c:numRef>
          </c:xVal>
          <c:yVal>
            <c:numRef>
              <c:f>Pivot!$I$20</c:f>
              <c:numCache>
                <c:formatCode>"$"0.0,"K"</c:formatCode>
                <c:ptCount val="1"/>
                <c:pt idx="0">
                  <c:v>68664</c:v>
                </c:pt>
              </c:numCache>
            </c:numRef>
          </c:yVal>
          <c:smooth val="0"/>
          <c:extLst>
            <c:ext xmlns:c16="http://schemas.microsoft.com/office/drawing/2014/chart" uri="{C3380CC4-5D6E-409C-BE32-E72D297353CC}">
              <c16:uniqueId val="{00000000-2252-4536-A9B4-46A3AB572779}"/>
            </c:ext>
          </c:extLst>
        </c:ser>
        <c:ser>
          <c:idx val="1"/>
          <c:order val="1"/>
          <c:tx>
            <c:strRef>
              <c:f>Pivot!$G$21</c:f>
              <c:strCache>
                <c:ptCount val="1"/>
                <c:pt idx="0">
                  <c:v>Southern Nigeria</c:v>
                </c:pt>
              </c:strCache>
            </c:strRef>
          </c:tx>
          <c:spPr>
            <a:ln w="25400" cap="rnd">
              <a:noFill/>
              <a:round/>
            </a:ln>
            <a:effectLst/>
          </c:spPr>
          <c:marker>
            <c:symbol val="circle"/>
            <c:size val="5"/>
            <c:spPr>
              <a:solidFill>
                <a:srgbClr val="4F5F79"/>
              </a:solidFill>
              <a:ln w="9525">
                <a:noFill/>
              </a:ln>
              <a:effectLst/>
            </c:spPr>
          </c:marker>
          <c:xVal>
            <c:numRef>
              <c:f>Pivot!$H$21</c:f>
              <c:numCache>
                <c:formatCode>#,##0</c:formatCode>
                <c:ptCount val="1"/>
                <c:pt idx="0">
                  <c:v>14450</c:v>
                </c:pt>
              </c:numCache>
            </c:numRef>
          </c:xVal>
          <c:yVal>
            <c:numRef>
              <c:f>Pivot!$I$21</c:f>
              <c:numCache>
                <c:formatCode>"$"0.0,"K"</c:formatCode>
                <c:ptCount val="1"/>
                <c:pt idx="0">
                  <c:v>69294</c:v>
                </c:pt>
              </c:numCache>
            </c:numRef>
          </c:yVal>
          <c:smooth val="0"/>
          <c:extLst>
            <c:ext xmlns:c16="http://schemas.microsoft.com/office/drawing/2014/chart" uri="{C3380CC4-5D6E-409C-BE32-E72D297353CC}">
              <c16:uniqueId val="{00000001-2252-4536-A9B4-46A3AB572779}"/>
            </c:ext>
          </c:extLst>
        </c:ser>
        <c:ser>
          <c:idx val="2"/>
          <c:order val="2"/>
          <c:tx>
            <c:strRef>
              <c:f>Pivot!$G$22</c:f>
              <c:strCache>
                <c:ptCount val="1"/>
                <c:pt idx="0">
                  <c:v>Northern Nigeria</c:v>
                </c:pt>
              </c:strCache>
            </c:strRef>
          </c:tx>
          <c:spPr>
            <a:ln w="25400" cap="rnd">
              <a:noFill/>
              <a:round/>
            </a:ln>
            <a:effectLst/>
          </c:spPr>
          <c:marker>
            <c:symbol val="circle"/>
            <c:size val="5"/>
            <c:spPr>
              <a:solidFill>
                <a:schemeClr val="tx1"/>
              </a:solidFill>
              <a:ln w="9525">
                <a:noFill/>
              </a:ln>
              <a:effectLst/>
            </c:spPr>
          </c:marker>
          <c:xVal>
            <c:numRef>
              <c:f>Pivot!$H$22</c:f>
              <c:numCache>
                <c:formatCode>#,##0</c:formatCode>
                <c:ptCount val="1"/>
                <c:pt idx="0">
                  <c:v>14180</c:v>
                </c:pt>
              </c:numCache>
            </c:numRef>
          </c:xVal>
          <c:yVal>
            <c:numRef>
              <c:f>Pivot!$I$22</c:f>
              <c:numCache>
                <c:formatCode>"$"0.0,"K"</c:formatCode>
                <c:ptCount val="1"/>
                <c:pt idx="0">
                  <c:v>72395</c:v>
                </c:pt>
              </c:numCache>
            </c:numRef>
          </c:yVal>
          <c:smooth val="0"/>
          <c:extLst>
            <c:ext xmlns:c16="http://schemas.microsoft.com/office/drawing/2014/chart" uri="{C3380CC4-5D6E-409C-BE32-E72D297353CC}">
              <c16:uniqueId val="{00000002-2252-4536-A9B4-46A3AB572779}"/>
            </c:ext>
          </c:extLst>
        </c:ser>
        <c:ser>
          <c:idx val="3"/>
          <c:order val="3"/>
          <c:tx>
            <c:strRef>
              <c:f>Pivot!$G$23</c:f>
              <c:strCache>
                <c:ptCount val="1"/>
                <c:pt idx="0">
                  <c:v>Eastern Nigeria</c:v>
                </c:pt>
              </c:strCache>
            </c:strRef>
          </c:tx>
          <c:spPr>
            <a:ln w="25400" cap="rnd">
              <a:noFill/>
              <a:round/>
            </a:ln>
            <a:effectLst/>
          </c:spPr>
          <c:marker>
            <c:symbol val="circle"/>
            <c:size val="5"/>
            <c:spPr>
              <a:solidFill>
                <a:schemeClr val="accent4"/>
              </a:solidFill>
              <a:ln w="9525">
                <a:noFill/>
              </a:ln>
              <a:effectLst/>
            </c:spPr>
          </c:marker>
          <c:xVal>
            <c:numRef>
              <c:f>Pivot!$H$23</c:f>
              <c:numCache>
                <c:formatCode>#,##0</c:formatCode>
                <c:ptCount val="1"/>
                <c:pt idx="0">
                  <c:v>12453</c:v>
                </c:pt>
              </c:numCache>
            </c:numRef>
          </c:xVal>
          <c:yVal>
            <c:numRef>
              <c:f>Pivot!$I$23</c:f>
              <c:numCache>
                <c:formatCode>"$"0.0,"K"</c:formatCode>
                <c:ptCount val="1"/>
                <c:pt idx="0">
                  <c:v>62519</c:v>
                </c:pt>
              </c:numCache>
            </c:numRef>
          </c:yVal>
          <c:smooth val="0"/>
          <c:extLst>
            <c:ext xmlns:c16="http://schemas.microsoft.com/office/drawing/2014/chart" uri="{C3380CC4-5D6E-409C-BE32-E72D297353CC}">
              <c16:uniqueId val="{00000003-2252-4536-A9B4-46A3AB572779}"/>
            </c:ext>
          </c:extLst>
        </c:ser>
        <c:dLbls>
          <c:showLegendKey val="0"/>
          <c:showVal val="0"/>
          <c:showCatName val="0"/>
          <c:showSerName val="0"/>
          <c:showPercent val="0"/>
          <c:showBubbleSize val="0"/>
        </c:dLbls>
        <c:axId val="508250447"/>
        <c:axId val="508250927"/>
      </c:scatterChart>
      <c:valAx>
        <c:axId val="508250447"/>
        <c:scaling>
          <c:orientation val="minMax"/>
        </c:scaling>
        <c:delete val="0"/>
        <c:axPos val="b"/>
        <c:title>
          <c:tx>
            <c:rich>
              <a:bodyPr rot="0" spcFirstLastPara="1" vertOverflow="ellipsis" vert="horz" wrap="square" anchor="ctr" anchorCtr="1"/>
              <a:lstStyle/>
              <a:p>
                <a:pPr algn="ctr" rtl="0">
                  <a:defRPr lang="en-US" sz="1000" b="0" i="0" u="none" strike="noStrike" kern="1200" baseline="0">
                    <a:solidFill>
                      <a:schemeClr val="tx1"/>
                    </a:solidFill>
                    <a:latin typeface="+mn-lt"/>
                    <a:ea typeface="+mn-ea"/>
                    <a:cs typeface="+mn-cs"/>
                  </a:defRPr>
                </a:pPr>
                <a:r>
                  <a:rPr lang="en-US" sz="1000" b="1" i="0" u="none" strike="noStrike" kern="1200" baseline="0">
                    <a:solidFill>
                      <a:schemeClr val="tx1"/>
                    </a:solidFill>
                  </a:rPr>
                  <a:t>Quantity Sold</a:t>
                </a:r>
              </a:p>
            </c:rich>
          </c:tx>
          <c:overlay val="0"/>
          <c:spPr>
            <a:noFill/>
            <a:ln>
              <a:noFill/>
            </a:ln>
            <a:effectLst/>
          </c:spPr>
          <c:txPr>
            <a:bodyPr rot="0" spcFirstLastPara="1" vertOverflow="ellipsis" vert="horz" wrap="square" anchor="ctr" anchorCtr="1"/>
            <a:lstStyle/>
            <a:p>
              <a:pPr algn="ctr" rtl="0">
                <a:defRPr lang="en-US" sz="1000" b="0" i="0" u="none" strike="noStrike" kern="1200" baseline="0">
                  <a:solidFill>
                    <a:schemeClr val="tx1"/>
                  </a:solidFill>
                  <a:latin typeface="+mn-lt"/>
                  <a:ea typeface="+mn-ea"/>
                  <a:cs typeface="+mn-cs"/>
                </a:defRPr>
              </a:pPr>
              <a:endParaRPr lang="en-US"/>
            </a:p>
          </c:txPr>
        </c:title>
        <c:numFmt formatCode="0,&quot;K&quot;"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lgn="ctr">
              <a:defRPr lang="en-US" sz="900" b="0" i="0" u="none" strike="noStrike" kern="1200" baseline="0">
                <a:solidFill>
                  <a:schemeClr val="tx1"/>
                </a:solidFill>
                <a:latin typeface="+mn-lt"/>
                <a:ea typeface="+mn-ea"/>
                <a:cs typeface="+mn-cs"/>
              </a:defRPr>
            </a:pPr>
            <a:endParaRPr lang="en-US"/>
          </a:p>
        </c:txPr>
        <c:crossAx val="508250927"/>
        <c:crosses val="autoZero"/>
        <c:crossBetween val="midCat"/>
      </c:valAx>
      <c:valAx>
        <c:axId val="508250927"/>
        <c:scaling>
          <c:orientation val="minMax"/>
        </c:scaling>
        <c:delete val="0"/>
        <c:axPos val="l"/>
        <c:title>
          <c:tx>
            <c:rich>
              <a:bodyPr rot="-5400000" spcFirstLastPara="1" vertOverflow="ellipsis" vert="horz" wrap="square" anchor="ctr" anchorCtr="1"/>
              <a:lstStyle/>
              <a:p>
                <a:pPr>
                  <a:defRPr lang="en-US" sz="900" b="0" i="0" u="none" strike="noStrike" kern="1200" baseline="0">
                    <a:solidFill>
                      <a:schemeClr val="tx1"/>
                    </a:solidFill>
                    <a:latin typeface="+mn-lt"/>
                    <a:ea typeface="+mn-ea"/>
                    <a:cs typeface="+mn-cs"/>
                  </a:defRPr>
                </a:pPr>
                <a:r>
                  <a:rPr lang="en-US" sz="1000" b="1" i="0" u="none" strike="noStrike" kern="1200" baseline="0">
                    <a:solidFill>
                      <a:schemeClr val="tx1"/>
                    </a:solidFill>
                  </a:rPr>
                  <a:t>Profit</a:t>
                </a:r>
              </a:p>
            </c:rich>
          </c:tx>
          <c:overlay val="0"/>
          <c:spPr>
            <a:noFill/>
            <a:ln>
              <a:noFill/>
            </a:ln>
            <a:effectLst/>
          </c:spPr>
          <c:txPr>
            <a:bodyPr rot="-540000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title>
        <c:numFmt formatCode="&quot;$&quot;0.0,&quot;K&quot;"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crossAx val="508250447"/>
        <c:crosses val="autoZero"/>
        <c:crossBetween val="midCat"/>
        <c:majorUnit val="10000"/>
      </c:valAx>
      <c:spPr>
        <a:noFill/>
        <a:ln>
          <a:noFill/>
        </a:ln>
        <a:effectLst/>
      </c:spPr>
    </c:plotArea>
    <c:legend>
      <c:legendPos val="r"/>
      <c:layout>
        <c:manualLayout>
          <c:xMode val="edge"/>
          <c:yMode val="edge"/>
          <c:x val="0.70776121566928629"/>
          <c:y val="0.15092648950966861"/>
          <c:w val="0.28110189175174261"/>
          <c:h val="0.4337376463427407"/>
        </c:manualLayout>
      </c:layout>
      <c:overlay val="0"/>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lgn="ct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[Dirty pharmacy datasets Analysis.xlsx]Pivot!PivotTable6</c:name>
    <c:fmtId val="8"/>
  </c:pivotSource>
  <c:chart>
    <c:autoTitleDeleted val="1"/>
    <c:pivotFmts>
      <c:pivotFmt>
        <c:idx val="0"/>
        <c:spPr>
          <a:solidFill>
            <a:schemeClr val="accent1"/>
          </a:solidFill>
          <a:ln w="19050">
            <a:solidFill>
              <a:schemeClr val="lt1"/>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rgbClr val="593181"/>
          </a:solidFill>
          <a:ln w="19050">
            <a:solidFill>
              <a:schemeClr val="lt1"/>
            </a:solidFill>
          </a:ln>
          <a:effectLst/>
        </c:spPr>
        <c:marker>
          <c:symbol val="none"/>
        </c:marker>
        <c:dLbl>
          <c:idx val="0"/>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2"/>
        <c:spPr>
          <a:solidFill>
            <a:srgbClr val="082040"/>
          </a:solidFill>
          <a:ln w="19050">
            <a:solidFill>
              <a:schemeClr val="lt1"/>
            </a:solidFill>
          </a:ln>
          <a:effectLst/>
        </c:spPr>
        <c:dLbl>
          <c:idx val="0"/>
          <c:layout>
            <c:manualLayout>
              <c:x val="9.5398428731761964E-2"/>
              <c:y val="-5.04217088375504E-2"/>
            </c:manualLayout>
          </c:layout>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82040"/>
          </a:solidFill>
          <a:ln w="19050">
            <a:solidFill>
              <a:schemeClr val="lt1"/>
            </a:solidFill>
          </a:ln>
          <a:effectLst/>
        </c:spPr>
        <c:dLbl>
          <c:idx val="0"/>
          <c:layout>
            <c:manualLayout>
              <c:x val="0.1122334455667789"/>
              <c:y val="0"/>
            </c:manualLayout>
          </c:layout>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314259"/>
          </a:solidFill>
          <a:ln w="19050">
            <a:solidFill>
              <a:schemeClr val="lt1"/>
            </a:solidFill>
          </a:ln>
          <a:effectLst/>
        </c:spPr>
        <c:dLbl>
          <c:idx val="0"/>
          <c:layout>
            <c:manualLayout>
              <c:x val="-7.2951739618406286E-2"/>
              <c:y val="7.7924459112577837E-2"/>
            </c:manualLayout>
          </c:layout>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8.9786756453423155E-2"/>
              <c:y val="-2.7502750275027524E-2"/>
            </c:manualLayout>
          </c:layou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9.5648679183448188E-2"/>
              <c:y val="-1.3751375137513793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4"/>
          </a:solidFill>
          <a:ln w="19050">
            <a:solidFill>
              <a:schemeClr val="lt1"/>
            </a:solidFill>
          </a:ln>
          <a:effectLst/>
        </c:spPr>
        <c:dLbl>
          <c:idx val="0"/>
          <c:layout>
            <c:manualLayout>
              <c:x val="-9.2004381161007662E-2"/>
              <c:y val="-2.7502750275027504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chemeClr val="accent3"/>
          </a:solidFill>
          <a:ln w="19050">
            <a:solidFill>
              <a:schemeClr val="lt1"/>
            </a:solidFill>
          </a:ln>
          <a:effectLst/>
        </c:spPr>
        <c:dLbl>
          <c:idx val="0"/>
          <c:layout>
            <c:manualLayout>
              <c:x val="-6.1336254107338443E-2"/>
              <c:y val="3.6670333700036667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9"/>
        <c:spPr>
          <a:solidFill>
            <a:srgbClr val="302A6E"/>
          </a:solidFill>
          <a:ln w="19050">
            <a:solidFill>
              <a:schemeClr val="lt1"/>
            </a:solidFill>
          </a:ln>
          <a:effectLst/>
        </c:spPr>
        <c:dLbl>
          <c:idx val="0"/>
          <c:layout>
            <c:manualLayout>
              <c:x val="0.12705366922234393"/>
              <c:y val="2.750275027502742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9.5648679183448188E-2"/>
              <c:y val="-1.3751375137513793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2"/>
        <c:spPr>
          <a:solidFill>
            <a:srgbClr val="302A6E"/>
          </a:solidFill>
          <a:ln w="19050">
            <a:solidFill>
              <a:schemeClr val="lt1"/>
            </a:solidFill>
          </a:ln>
          <a:effectLst/>
        </c:spPr>
        <c:dLbl>
          <c:idx val="0"/>
          <c:layout>
            <c:manualLayout>
              <c:x val="0.12705366922234393"/>
              <c:y val="2.750275027502742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6.1336254107338443E-2"/>
              <c:y val="3.6670333700036667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9.2004381161007662E-2"/>
              <c:y val="-2.7502750275027504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6"/>
        <c:spPr>
          <a:solidFill>
            <a:schemeClr val="accent3"/>
          </a:solidFill>
          <a:ln w="19050">
            <a:solidFill>
              <a:schemeClr val="lt1"/>
            </a:solidFill>
          </a:ln>
          <a:effectLst/>
        </c:spPr>
        <c:dLbl>
          <c:idx val="0"/>
          <c:layout>
            <c:manualLayout>
              <c:x val="0.13679978366965084"/>
              <c:y val="-1.9347421651028183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7"/>
        <c:spPr>
          <a:solidFill>
            <a:srgbClr val="4F5F80"/>
          </a:solidFill>
          <a:ln w="19050">
            <a:solidFill>
              <a:schemeClr val="lt1"/>
            </a:solidFill>
          </a:ln>
          <a:effectLst/>
        </c:spPr>
        <c:dLbl>
          <c:idx val="0"/>
          <c:layout>
            <c:manualLayout>
              <c:x val="0.14376966107272129"/>
              <c:y val="8.5816048645225934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8"/>
        <c:spPr>
          <a:solidFill>
            <a:schemeClr val="tx2"/>
          </a:solidFill>
          <a:ln w="19050">
            <a:solidFill>
              <a:schemeClr val="lt1"/>
            </a:solidFill>
          </a:ln>
          <a:effectLst/>
        </c:spPr>
        <c:dLbl>
          <c:idx val="0"/>
          <c:layout>
            <c:manualLayout>
              <c:x val="-3.5143779410171119E-2"/>
              <c:y val="0.17676220472440957"/>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dLbl>
          <c:idx val="0"/>
          <c:layout>
            <c:manualLayout>
              <c:x val="-4.9940440934517931E-2"/>
              <c:y val="-0.13129123541995444"/>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5.7545586791405735E-2"/>
          <c:y val="0.27333318335208101"/>
          <c:w val="0.47897277841455366"/>
          <c:h val="0.63560089729558933"/>
        </c:manualLayout>
      </c:layout>
      <c:doughnutChart>
        <c:varyColors val="1"/>
        <c:ser>
          <c:idx val="0"/>
          <c:order val="0"/>
          <c:tx>
            <c:strRef>
              <c:f>Pivot!$E$11</c:f>
              <c:strCache>
                <c:ptCount val="1"/>
                <c:pt idx="0">
                  <c:v>Total</c:v>
                </c:pt>
              </c:strCache>
            </c:strRef>
          </c:tx>
          <c:dPt>
            <c:idx val="0"/>
            <c:bubble3D val="0"/>
            <c:spPr>
              <a:solidFill>
                <a:schemeClr val="accent3"/>
              </a:solidFill>
              <a:ln w="19050">
                <a:solidFill>
                  <a:schemeClr val="lt1"/>
                </a:solidFill>
              </a:ln>
              <a:effectLst/>
            </c:spPr>
            <c:extLst>
              <c:ext xmlns:c16="http://schemas.microsoft.com/office/drawing/2014/chart" uri="{C3380CC4-5D6E-409C-BE32-E72D297353CC}">
                <c16:uniqueId val="{00000001-CFE9-4612-8E03-2AD1486ABE74}"/>
              </c:ext>
            </c:extLst>
          </c:dPt>
          <c:dPt>
            <c:idx val="1"/>
            <c:bubble3D val="0"/>
            <c:spPr>
              <a:solidFill>
                <a:srgbClr val="4F5F80"/>
              </a:solidFill>
              <a:ln w="19050">
                <a:solidFill>
                  <a:schemeClr val="lt1"/>
                </a:solidFill>
              </a:ln>
              <a:effectLst/>
            </c:spPr>
            <c:extLst>
              <c:ext xmlns:c16="http://schemas.microsoft.com/office/drawing/2014/chart" uri="{C3380CC4-5D6E-409C-BE32-E72D297353CC}">
                <c16:uniqueId val="{00000003-CFE9-4612-8E03-2AD1486ABE74}"/>
              </c:ext>
            </c:extLst>
          </c:dPt>
          <c:dPt>
            <c:idx val="2"/>
            <c:bubble3D val="0"/>
            <c:spPr>
              <a:solidFill>
                <a:schemeClr val="tx2"/>
              </a:solidFill>
              <a:ln w="19050">
                <a:solidFill>
                  <a:schemeClr val="lt1"/>
                </a:solidFill>
              </a:ln>
              <a:effectLst/>
            </c:spPr>
            <c:extLst>
              <c:ext xmlns:c16="http://schemas.microsoft.com/office/drawing/2014/chart" uri="{C3380CC4-5D6E-409C-BE32-E72D297353CC}">
                <c16:uniqueId val="{00000005-CFE9-4612-8E03-2AD1486ABE7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FE9-4612-8E03-2AD1486ABE74}"/>
              </c:ext>
            </c:extLst>
          </c:dPt>
          <c:dLbls>
            <c:dLbl>
              <c:idx val="0"/>
              <c:layout>
                <c:manualLayout>
                  <c:x val="0.13679978366965084"/>
                  <c:y val="-1.9347421651028183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CFE9-4612-8E03-2AD1486ABE74}"/>
                </c:ext>
              </c:extLst>
            </c:dLbl>
            <c:dLbl>
              <c:idx val="1"/>
              <c:layout>
                <c:manualLayout>
                  <c:x val="0.14376966107272129"/>
                  <c:y val="8.5816048645225934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CFE9-4612-8E03-2AD1486ABE74}"/>
                </c:ext>
              </c:extLst>
            </c:dLbl>
            <c:dLbl>
              <c:idx val="2"/>
              <c:layout>
                <c:manualLayout>
                  <c:x val="-3.5143779410171119E-2"/>
                  <c:y val="0.17676220472440957"/>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CFE9-4612-8E03-2AD1486ABE74}"/>
                </c:ext>
              </c:extLst>
            </c:dLbl>
            <c:dLbl>
              <c:idx val="3"/>
              <c:layout>
                <c:manualLayout>
                  <c:x val="-4.9940440934517931E-2"/>
                  <c:y val="-0.13129123541995444"/>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CFE9-4612-8E03-2AD1486ABE74}"/>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Pivot!$D$12:$D$15</c:f>
              <c:strCache>
                <c:ptCount val="4"/>
                <c:pt idx="0">
                  <c:v>Western Nigeria</c:v>
                </c:pt>
                <c:pt idx="1">
                  <c:v>Southern Nigeria</c:v>
                </c:pt>
                <c:pt idx="2">
                  <c:v>Northern Nigeria</c:v>
                </c:pt>
                <c:pt idx="3">
                  <c:v>Eastern Nigeria</c:v>
                </c:pt>
              </c:strCache>
            </c:strRef>
          </c:cat>
          <c:val>
            <c:numRef>
              <c:f>Pivot!$E$12:$E$15</c:f>
              <c:numCache>
                <c:formatCode>"$"0.00,,"M"</c:formatCode>
                <c:ptCount val="4"/>
                <c:pt idx="0">
                  <c:v>989156</c:v>
                </c:pt>
                <c:pt idx="1">
                  <c:v>945154</c:v>
                </c:pt>
                <c:pt idx="2">
                  <c:v>882348</c:v>
                </c:pt>
                <c:pt idx="3">
                  <c:v>797107</c:v>
                </c:pt>
              </c:numCache>
            </c:numRef>
          </c:val>
          <c:extLst>
            <c:ext xmlns:c16="http://schemas.microsoft.com/office/drawing/2014/chart" uri="{C3380CC4-5D6E-409C-BE32-E72D297353CC}">
              <c16:uniqueId val="{00000008-CFE9-4612-8E03-2AD1486ABE74}"/>
            </c:ext>
          </c:extLst>
        </c:ser>
        <c:dLbls>
          <c:showLegendKey val="0"/>
          <c:showVal val="1"/>
          <c:showCatName val="0"/>
          <c:showSerName val="0"/>
          <c:showPercent val="0"/>
          <c:showBubbleSize val="0"/>
          <c:showLeaderLines val="1"/>
        </c:dLbls>
        <c:firstSliceAng val="0"/>
        <c:holeSize val="84"/>
      </c:doughnutChart>
      <c:spPr>
        <a:noFill/>
        <a:ln>
          <a:noFill/>
        </a:ln>
        <a:effectLst/>
      </c:spPr>
    </c:plotArea>
    <c:legend>
      <c:legendPos val="r"/>
      <c:layout>
        <c:manualLayout>
          <c:xMode val="edge"/>
          <c:yMode val="edge"/>
          <c:x val="0.64367214311437626"/>
          <c:y val="0.13800425405727967"/>
          <c:w val="0.34682918127773643"/>
          <c:h val="0.7372750916944421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5.png"/><Relationship Id="rId13" Type="http://schemas.openxmlformats.org/officeDocument/2006/relationships/hyperlink" Target="#Dashboard2!A1"/><Relationship Id="rId3" Type="http://schemas.openxmlformats.org/officeDocument/2006/relationships/chart" Target="../charts/chart3.xml"/><Relationship Id="rId7" Type="http://schemas.openxmlformats.org/officeDocument/2006/relationships/image" Target="../media/image4.svg"/><Relationship Id="rId12" Type="http://schemas.openxmlformats.org/officeDocument/2006/relationships/hyperlink" Target="#Dashboard1!A1"/><Relationship Id="rId2" Type="http://schemas.openxmlformats.org/officeDocument/2006/relationships/chart" Target="../charts/chart2.xml"/><Relationship Id="rId16" Type="http://schemas.openxmlformats.org/officeDocument/2006/relationships/chart" Target="../charts/chart5.xml"/><Relationship Id="rId1" Type="http://schemas.openxmlformats.org/officeDocument/2006/relationships/chart" Target="../charts/chart1.xml"/><Relationship Id="rId6" Type="http://schemas.openxmlformats.org/officeDocument/2006/relationships/image" Target="../media/image3.png"/><Relationship Id="rId11" Type="http://schemas.openxmlformats.org/officeDocument/2006/relationships/image" Target="../media/image8.svg"/><Relationship Id="rId5" Type="http://schemas.openxmlformats.org/officeDocument/2006/relationships/image" Target="../media/image2.svg"/><Relationship Id="rId15" Type="http://schemas.openxmlformats.org/officeDocument/2006/relationships/chart" Target="../charts/chart4.xml"/><Relationship Id="rId10" Type="http://schemas.openxmlformats.org/officeDocument/2006/relationships/image" Target="../media/image7.png"/><Relationship Id="rId4" Type="http://schemas.openxmlformats.org/officeDocument/2006/relationships/image" Target="../media/image1.png"/><Relationship Id="rId9" Type="http://schemas.openxmlformats.org/officeDocument/2006/relationships/image" Target="../media/image6.svg"/><Relationship Id="rId14" Type="http://schemas.openxmlformats.org/officeDocument/2006/relationships/image" Target="../media/image9.png"/></Relationships>
</file>

<file path=xl/drawings/_rels/drawing2.xml.rels><?xml version="1.0" encoding="UTF-8" standalone="yes"?>
<Relationships xmlns="http://schemas.openxmlformats.org/package/2006/relationships"><Relationship Id="rId8" Type="http://schemas.openxmlformats.org/officeDocument/2006/relationships/image" Target="../media/image8.svg"/><Relationship Id="rId3" Type="http://schemas.openxmlformats.org/officeDocument/2006/relationships/image" Target="../media/image5.png"/><Relationship Id="rId7" Type="http://schemas.openxmlformats.org/officeDocument/2006/relationships/image" Target="../media/image7.png"/><Relationship Id="rId2" Type="http://schemas.openxmlformats.org/officeDocument/2006/relationships/image" Target="../media/image4.svg"/><Relationship Id="rId1" Type="http://schemas.openxmlformats.org/officeDocument/2006/relationships/image" Target="../media/image3.png"/><Relationship Id="rId6" Type="http://schemas.openxmlformats.org/officeDocument/2006/relationships/image" Target="../media/image2.svg"/><Relationship Id="rId11" Type="http://schemas.openxmlformats.org/officeDocument/2006/relationships/image" Target="../media/image9.png"/><Relationship Id="rId5" Type="http://schemas.openxmlformats.org/officeDocument/2006/relationships/image" Target="../media/image1.png"/><Relationship Id="rId10" Type="http://schemas.openxmlformats.org/officeDocument/2006/relationships/hyperlink" Target="#Dashboard2!A1"/><Relationship Id="rId4" Type="http://schemas.openxmlformats.org/officeDocument/2006/relationships/image" Target="../media/image6.svg"/><Relationship Id="rId9" Type="http://schemas.openxmlformats.org/officeDocument/2006/relationships/hyperlink" Target="#Dashboard1!A1"/></Relationships>
</file>

<file path=xl/drawings/drawing1.xml><?xml version="1.0" encoding="utf-8"?>
<xdr:wsDr xmlns:xdr="http://schemas.openxmlformats.org/drawingml/2006/spreadsheetDrawing" xmlns:a="http://schemas.openxmlformats.org/drawingml/2006/main">
  <xdr:twoCellAnchor>
    <xdr:from>
      <xdr:col>0</xdr:col>
      <xdr:colOff>127001</xdr:colOff>
      <xdr:row>1</xdr:row>
      <xdr:rowOff>84665</xdr:rowOff>
    </xdr:from>
    <xdr:to>
      <xdr:col>17</xdr:col>
      <xdr:colOff>338636</xdr:colOff>
      <xdr:row>30</xdr:row>
      <xdr:rowOff>119237</xdr:rowOff>
    </xdr:to>
    <xdr:grpSp>
      <xdr:nvGrpSpPr>
        <xdr:cNvPr id="60" name="Group 59">
          <a:extLst>
            <a:ext uri="{FF2B5EF4-FFF2-40B4-BE49-F238E27FC236}">
              <a16:creationId xmlns:a16="http://schemas.microsoft.com/office/drawing/2014/main" id="{7F8DB288-1349-B514-6064-D683E8269E80}"/>
            </a:ext>
          </a:extLst>
        </xdr:cNvPr>
        <xdr:cNvGrpSpPr/>
      </xdr:nvGrpSpPr>
      <xdr:grpSpPr>
        <a:xfrm>
          <a:off x="127001" y="267228"/>
          <a:ext cx="11562260" cy="5543197"/>
          <a:chOff x="806834" y="410104"/>
          <a:chExt cx="11562260" cy="5543197"/>
        </a:xfrm>
      </xdr:grpSpPr>
      <xdr:sp macro="" textlink="">
        <xdr:nvSpPr>
          <xdr:cNvPr id="2" name="Rectangle 1">
            <a:extLst>
              <a:ext uri="{FF2B5EF4-FFF2-40B4-BE49-F238E27FC236}">
                <a16:creationId xmlns:a16="http://schemas.microsoft.com/office/drawing/2014/main" id="{E1C6DDF0-3F1C-8BF2-F32A-EF1186EECDF2}"/>
              </a:ext>
            </a:extLst>
          </xdr:cNvPr>
          <xdr:cNvSpPr/>
        </xdr:nvSpPr>
        <xdr:spPr>
          <a:xfrm>
            <a:off x="1299117" y="417834"/>
            <a:ext cx="11058620" cy="5529145"/>
          </a:xfrm>
          <a:prstGeom prst="rect">
            <a:avLst/>
          </a:prstGeom>
          <a:solidFill>
            <a:srgbClr val="DCE2F2">
              <a:alpha val="80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7" name="Rectangle: Top Corners Rounded 16">
            <a:extLst>
              <a:ext uri="{FF2B5EF4-FFF2-40B4-BE49-F238E27FC236}">
                <a16:creationId xmlns:a16="http://schemas.microsoft.com/office/drawing/2014/main" id="{A8F126FA-23D9-572B-FB05-65C84D14D532}"/>
              </a:ext>
            </a:extLst>
          </xdr:cNvPr>
          <xdr:cNvSpPr/>
        </xdr:nvSpPr>
        <xdr:spPr>
          <a:xfrm>
            <a:off x="9270201" y="1161591"/>
            <a:ext cx="3080439" cy="4770423"/>
          </a:xfrm>
          <a:prstGeom prst="round2SameRect">
            <a:avLst>
              <a:gd name="adj1" fmla="val 0"/>
              <a:gd name="adj2" fmla="val 0"/>
            </a:avLst>
          </a:prstGeom>
          <a:solidFill>
            <a:srgbClr val="EBEBF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2" name="Rectangle: Top Corners Rounded 71">
            <a:extLst>
              <a:ext uri="{FF2B5EF4-FFF2-40B4-BE49-F238E27FC236}">
                <a16:creationId xmlns:a16="http://schemas.microsoft.com/office/drawing/2014/main" id="{376B2207-1E43-1611-8245-F287704F939B}"/>
              </a:ext>
            </a:extLst>
          </xdr:cNvPr>
          <xdr:cNvSpPr/>
        </xdr:nvSpPr>
        <xdr:spPr>
          <a:xfrm rot="5400000">
            <a:off x="-1288877" y="2505815"/>
            <a:ext cx="5543197" cy="1351775"/>
          </a:xfrm>
          <a:prstGeom prst="round2SameRect">
            <a:avLst>
              <a:gd name="adj1" fmla="val 0"/>
              <a:gd name="adj2" fmla="val 39258"/>
            </a:avLst>
          </a:prstGeom>
          <a:solidFill>
            <a:srgbClr val="EBEBF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 name="Rectangle: Top Corners Rounded 2">
            <a:extLst>
              <a:ext uri="{FF2B5EF4-FFF2-40B4-BE49-F238E27FC236}">
                <a16:creationId xmlns:a16="http://schemas.microsoft.com/office/drawing/2014/main" id="{5ADA3DC1-BB5F-4CC0-1570-7F6A61EEC407}"/>
              </a:ext>
            </a:extLst>
          </xdr:cNvPr>
          <xdr:cNvSpPr/>
        </xdr:nvSpPr>
        <xdr:spPr>
          <a:xfrm>
            <a:off x="2186613" y="410105"/>
            <a:ext cx="10149830" cy="604278"/>
          </a:xfrm>
          <a:prstGeom prst="round2SameRect">
            <a:avLst>
              <a:gd name="adj1" fmla="val 0"/>
              <a:gd name="adj2" fmla="val 199"/>
            </a:avLst>
          </a:prstGeom>
          <a:solidFill>
            <a:srgbClr val="EBEBF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0" name="Rectangle: Top Corners Rounded 9">
            <a:extLst>
              <a:ext uri="{FF2B5EF4-FFF2-40B4-BE49-F238E27FC236}">
                <a16:creationId xmlns:a16="http://schemas.microsoft.com/office/drawing/2014/main" id="{0E6E5637-E601-84F0-C2E9-74C121B85D5F}"/>
              </a:ext>
            </a:extLst>
          </xdr:cNvPr>
          <xdr:cNvSpPr/>
        </xdr:nvSpPr>
        <xdr:spPr>
          <a:xfrm>
            <a:off x="2293079" y="1951068"/>
            <a:ext cx="6863558" cy="1918230"/>
          </a:xfrm>
          <a:prstGeom prst="round2SameRect">
            <a:avLst>
              <a:gd name="adj1" fmla="val 0"/>
              <a:gd name="adj2" fmla="val 0"/>
            </a:avLst>
          </a:prstGeom>
          <a:solidFill>
            <a:srgbClr val="EBEBF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noFill/>
            </a:endParaRPr>
          </a:p>
        </xdr:txBody>
      </xdr:sp>
      <xdr:sp macro="" textlink="">
        <xdr:nvSpPr>
          <xdr:cNvPr id="11" name="Rectangle: Top Corners Rounded 10">
            <a:extLst>
              <a:ext uri="{FF2B5EF4-FFF2-40B4-BE49-F238E27FC236}">
                <a16:creationId xmlns:a16="http://schemas.microsoft.com/office/drawing/2014/main" id="{58812A03-4E01-16F7-FC86-5FFF4E307966}"/>
              </a:ext>
            </a:extLst>
          </xdr:cNvPr>
          <xdr:cNvSpPr/>
        </xdr:nvSpPr>
        <xdr:spPr>
          <a:xfrm>
            <a:off x="2303017" y="3969017"/>
            <a:ext cx="3347315" cy="1977962"/>
          </a:xfrm>
          <a:prstGeom prst="round2SameRect">
            <a:avLst>
              <a:gd name="adj1" fmla="val 0"/>
              <a:gd name="adj2" fmla="val 0"/>
            </a:avLst>
          </a:prstGeom>
          <a:solidFill>
            <a:srgbClr val="EBEBF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3" name="Rectangle: Top Corners Rounded 12">
            <a:extLst>
              <a:ext uri="{FF2B5EF4-FFF2-40B4-BE49-F238E27FC236}">
                <a16:creationId xmlns:a16="http://schemas.microsoft.com/office/drawing/2014/main" id="{B2025DA9-8C7C-87B4-4DF9-3FBEBCD43806}"/>
              </a:ext>
            </a:extLst>
          </xdr:cNvPr>
          <xdr:cNvSpPr/>
        </xdr:nvSpPr>
        <xdr:spPr>
          <a:xfrm>
            <a:off x="5749701" y="3969017"/>
            <a:ext cx="3406935" cy="1977962"/>
          </a:xfrm>
          <a:prstGeom prst="round2SameRect">
            <a:avLst>
              <a:gd name="adj1" fmla="val 0"/>
              <a:gd name="adj2" fmla="val 0"/>
            </a:avLst>
          </a:prstGeom>
          <a:solidFill>
            <a:srgbClr val="EBEBF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15" name="Group 14">
            <a:extLst>
              <a:ext uri="{FF2B5EF4-FFF2-40B4-BE49-F238E27FC236}">
                <a16:creationId xmlns:a16="http://schemas.microsoft.com/office/drawing/2014/main" id="{21322A0C-536C-E59B-B01C-CC7936A5579E}"/>
              </a:ext>
            </a:extLst>
          </xdr:cNvPr>
          <xdr:cNvGrpSpPr/>
        </xdr:nvGrpSpPr>
        <xdr:grpSpPr>
          <a:xfrm>
            <a:off x="2296630" y="1114099"/>
            <a:ext cx="1590613" cy="728706"/>
            <a:chOff x="1668640" y="742184"/>
            <a:chExt cx="1581150" cy="731721"/>
          </a:xfrm>
        </xdr:grpSpPr>
        <xdr:sp macro="" textlink="">
          <xdr:nvSpPr>
            <xdr:cNvPr id="5" name="Rectangle: Top Corners Rounded 4">
              <a:extLst>
                <a:ext uri="{FF2B5EF4-FFF2-40B4-BE49-F238E27FC236}">
                  <a16:creationId xmlns:a16="http://schemas.microsoft.com/office/drawing/2014/main" id="{C3FAF779-921A-7CA1-1060-BDF1F778B3A0}"/>
                </a:ext>
              </a:extLst>
            </xdr:cNvPr>
            <xdr:cNvSpPr/>
          </xdr:nvSpPr>
          <xdr:spPr>
            <a:xfrm>
              <a:off x="1668640" y="797276"/>
              <a:ext cx="1581150" cy="676629"/>
            </a:xfrm>
            <a:prstGeom prst="round2SameRect">
              <a:avLst>
                <a:gd name="adj1" fmla="val 0"/>
                <a:gd name="adj2" fmla="val 0"/>
              </a:avLst>
            </a:prstGeom>
            <a:solidFill>
              <a:srgbClr val="082040">
                <a:alpha val="89804"/>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5" name="TextBox 54">
              <a:extLst>
                <a:ext uri="{FF2B5EF4-FFF2-40B4-BE49-F238E27FC236}">
                  <a16:creationId xmlns:a16="http://schemas.microsoft.com/office/drawing/2014/main" id="{9D708FB7-61CE-13AC-E738-EF5D0633ADE8}"/>
                </a:ext>
              </a:extLst>
            </xdr:cNvPr>
            <xdr:cNvSpPr txBox="1"/>
          </xdr:nvSpPr>
          <xdr:spPr>
            <a:xfrm>
              <a:off x="2120655" y="742184"/>
              <a:ext cx="779884" cy="3539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latin typeface="Arial" panose="020B0604020202020204" pitchFamily="34" charset="0"/>
                  <a:cs typeface="Arial" panose="020B0604020202020204" pitchFamily="34" charset="0"/>
                </a:rPr>
                <a:t>Revenue</a:t>
              </a:r>
            </a:p>
          </xdr:txBody>
        </xdr:sp>
        <xdr:sp macro="" textlink="Pivot!H35">
          <xdr:nvSpPr>
            <xdr:cNvPr id="56" name="TextBox 55">
              <a:extLst>
                <a:ext uri="{FF2B5EF4-FFF2-40B4-BE49-F238E27FC236}">
                  <a16:creationId xmlns:a16="http://schemas.microsoft.com/office/drawing/2014/main" id="{5ABB6456-448E-1BCD-2E04-37E608C80505}"/>
                </a:ext>
              </a:extLst>
            </xdr:cNvPr>
            <xdr:cNvSpPr txBox="1"/>
          </xdr:nvSpPr>
          <xdr:spPr>
            <a:xfrm>
              <a:off x="2101062" y="886177"/>
              <a:ext cx="777913" cy="297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5214C91-0758-4A62-9CF8-72C21AABD5D5}" type="TxLink">
                <a:rPr lang="en-US" sz="1800" b="1" i="0" u="none" strike="noStrike">
                  <a:solidFill>
                    <a:schemeClr val="bg1"/>
                  </a:solidFill>
                  <a:latin typeface="Aptos Narrow"/>
                </a:rPr>
                <a:pPr/>
                <a:t>$3.6M</a:t>
              </a:fld>
              <a:endParaRPr lang="en-US" sz="4800" b="1">
                <a:solidFill>
                  <a:schemeClr val="bg1"/>
                </a:solidFill>
              </a:endParaRPr>
            </a:p>
          </xdr:txBody>
        </xdr:sp>
        <xdr:sp macro="" textlink="Pivot!M38">
          <xdr:nvSpPr>
            <xdr:cNvPr id="57" name="TextBox 56">
              <a:extLst>
                <a:ext uri="{FF2B5EF4-FFF2-40B4-BE49-F238E27FC236}">
                  <a16:creationId xmlns:a16="http://schemas.microsoft.com/office/drawing/2014/main" id="{84E0062E-9A6E-76FF-B9C0-8F3ADE572DAA}"/>
                </a:ext>
              </a:extLst>
            </xdr:cNvPr>
            <xdr:cNvSpPr txBox="1"/>
          </xdr:nvSpPr>
          <xdr:spPr>
            <a:xfrm>
              <a:off x="1948177" y="1180920"/>
              <a:ext cx="726491" cy="2776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3620DA8-77B4-4FAA-BB3F-3B876B711F03}" type="TxLink">
                <a:rPr lang="en-US" sz="1100" b="0" i="0" u="none" strike="noStrike">
                  <a:solidFill>
                    <a:srgbClr val="FF0000"/>
                  </a:solidFill>
                  <a:latin typeface="Aptos Narrow"/>
                </a:rPr>
                <a:pPr/>
                <a:t>-56.6%↓</a:t>
              </a:fld>
              <a:endParaRPr lang="en-US" sz="1100">
                <a:solidFill>
                  <a:srgbClr val="FF0000"/>
                </a:solidFill>
              </a:endParaRPr>
            </a:p>
          </xdr:txBody>
        </xdr:sp>
        <xdr:sp macro="" textlink="Pharmacy_Analysis_Clean!#REF!">
          <xdr:nvSpPr>
            <xdr:cNvPr id="58" name="TextBox 57">
              <a:extLst>
                <a:ext uri="{FF2B5EF4-FFF2-40B4-BE49-F238E27FC236}">
                  <a16:creationId xmlns:a16="http://schemas.microsoft.com/office/drawing/2014/main" id="{4CCF77A6-7E28-7F7B-4669-00334A832868}"/>
                </a:ext>
              </a:extLst>
            </xdr:cNvPr>
            <xdr:cNvSpPr txBox="1"/>
          </xdr:nvSpPr>
          <xdr:spPr>
            <a:xfrm>
              <a:off x="2489015" y="1180312"/>
              <a:ext cx="533617" cy="2776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bg1"/>
                  </a:solidFill>
                </a:rPr>
                <a:t>vs</a:t>
              </a:r>
              <a:r>
                <a:rPr lang="en-US" sz="1100" b="1" baseline="0">
                  <a:solidFill>
                    <a:schemeClr val="bg1"/>
                  </a:solidFill>
                </a:rPr>
                <a:t> PY</a:t>
              </a:r>
              <a:endParaRPr lang="en-US" sz="1100" b="1">
                <a:solidFill>
                  <a:schemeClr val="bg1"/>
                </a:solidFill>
              </a:endParaRPr>
            </a:p>
          </xdr:txBody>
        </xdr:sp>
      </xdr:grpSp>
      <xdr:sp macro="" textlink="">
        <xdr:nvSpPr>
          <xdr:cNvPr id="61" name="TextBox 60">
            <a:extLst>
              <a:ext uri="{FF2B5EF4-FFF2-40B4-BE49-F238E27FC236}">
                <a16:creationId xmlns:a16="http://schemas.microsoft.com/office/drawing/2014/main" id="{D1B7D88C-BB4D-95C6-664C-E01B08F28D4F}"/>
              </a:ext>
            </a:extLst>
          </xdr:cNvPr>
          <xdr:cNvSpPr txBox="1"/>
        </xdr:nvSpPr>
        <xdr:spPr>
          <a:xfrm>
            <a:off x="4284472" y="1202632"/>
            <a:ext cx="693454" cy="3518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solidFill>
                <a:schemeClr val="tx1"/>
              </a:solidFill>
            </a:endParaRPr>
          </a:p>
        </xdr:txBody>
      </xdr:sp>
      <xdr:grpSp>
        <xdr:nvGrpSpPr>
          <xdr:cNvPr id="16" name="Group 15">
            <a:extLst>
              <a:ext uri="{FF2B5EF4-FFF2-40B4-BE49-F238E27FC236}">
                <a16:creationId xmlns:a16="http://schemas.microsoft.com/office/drawing/2014/main" id="{E208EDE9-8C35-FCB3-3139-FA220237565E}"/>
              </a:ext>
            </a:extLst>
          </xdr:cNvPr>
          <xdr:cNvGrpSpPr/>
        </xdr:nvGrpSpPr>
        <xdr:grpSpPr>
          <a:xfrm>
            <a:off x="4078172" y="1114099"/>
            <a:ext cx="1563642" cy="724431"/>
            <a:chOff x="3340806" y="746478"/>
            <a:chExt cx="1554339" cy="727428"/>
          </a:xfrm>
        </xdr:grpSpPr>
        <xdr:sp macro="" textlink="">
          <xdr:nvSpPr>
            <xdr:cNvPr id="42" name="Rectangle: Top Corners Rounded 41">
              <a:extLst>
                <a:ext uri="{FF2B5EF4-FFF2-40B4-BE49-F238E27FC236}">
                  <a16:creationId xmlns:a16="http://schemas.microsoft.com/office/drawing/2014/main" id="{1AA225C6-6B90-020E-E9B1-A5B12ED50573}"/>
                </a:ext>
              </a:extLst>
            </xdr:cNvPr>
            <xdr:cNvSpPr/>
          </xdr:nvSpPr>
          <xdr:spPr>
            <a:xfrm>
              <a:off x="3340806" y="802212"/>
              <a:ext cx="1554339" cy="671694"/>
            </a:xfrm>
            <a:prstGeom prst="round2SameRect">
              <a:avLst>
                <a:gd name="adj1" fmla="val 0"/>
                <a:gd name="adj2" fmla="val 0"/>
              </a:avLst>
            </a:prstGeom>
            <a:solidFill>
              <a:srgbClr val="EBEBF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3" name="TextBox 42">
              <a:extLst>
                <a:ext uri="{FF2B5EF4-FFF2-40B4-BE49-F238E27FC236}">
                  <a16:creationId xmlns:a16="http://schemas.microsoft.com/office/drawing/2014/main" id="{C45D0CE6-219A-FDDC-BBF5-7135A541B198}"/>
                </a:ext>
              </a:extLst>
            </xdr:cNvPr>
            <xdr:cNvSpPr txBox="1"/>
          </xdr:nvSpPr>
          <xdr:spPr>
            <a:xfrm>
              <a:off x="3789794" y="746478"/>
              <a:ext cx="768767" cy="3574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tx1"/>
                  </a:solidFill>
                  <a:latin typeface="Arial" panose="020B0604020202020204" pitchFamily="34" charset="0"/>
                  <a:cs typeface="Arial" panose="020B0604020202020204" pitchFamily="34" charset="0"/>
                </a:rPr>
                <a:t>Profit</a:t>
              </a:r>
            </a:p>
          </xdr:txBody>
        </xdr:sp>
        <xdr:sp macro="" textlink="Pivot!K49">
          <xdr:nvSpPr>
            <xdr:cNvPr id="44" name="TextBox 43">
              <a:extLst>
                <a:ext uri="{FF2B5EF4-FFF2-40B4-BE49-F238E27FC236}">
                  <a16:creationId xmlns:a16="http://schemas.microsoft.com/office/drawing/2014/main" id="{3A47E1D7-9C89-3FAB-7DDF-93594C82C8EE}"/>
                </a:ext>
              </a:extLst>
            </xdr:cNvPr>
            <xdr:cNvSpPr txBox="1"/>
          </xdr:nvSpPr>
          <xdr:spPr>
            <a:xfrm>
              <a:off x="3770514" y="892148"/>
              <a:ext cx="982814" cy="3005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F5007EA-9FE5-4195-8AC9-6EE3979E8C1A}" type="TxLink">
                <a:rPr lang="en-US" sz="1800" b="1" i="0" u="none" strike="noStrike">
                  <a:solidFill>
                    <a:srgbClr val="000000"/>
                  </a:solidFill>
                  <a:latin typeface="Aptos Narrow"/>
                </a:rPr>
                <a:pPr/>
                <a:t>$272.9K</a:t>
              </a:fld>
              <a:endParaRPr lang="en-US" sz="7200" b="1">
                <a:solidFill>
                  <a:schemeClr val="tx1"/>
                </a:solidFill>
              </a:endParaRPr>
            </a:p>
          </xdr:txBody>
        </xdr:sp>
        <xdr:sp macro="" textlink="Pivot!M56">
          <xdr:nvSpPr>
            <xdr:cNvPr id="45" name="TextBox 44">
              <a:extLst>
                <a:ext uri="{FF2B5EF4-FFF2-40B4-BE49-F238E27FC236}">
                  <a16:creationId xmlns:a16="http://schemas.microsoft.com/office/drawing/2014/main" id="{37FFEE90-1691-71CF-67B9-D2ABCEF2F12A}"/>
                </a:ext>
              </a:extLst>
            </xdr:cNvPr>
            <xdr:cNvSpPr txBox="1"/>
          </xdr:nvSpPr>
          <xdr:spPr>
            <a:xfrm>
              <a:off x="3620086" y="1190340"/>
              <a:ext cx="716231" cy="280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E793191-887D-49F6-B821-5C0DB1AEDE26}" type="TxLink">
                <a:rPr lang="en-US" sz="1100" b="0" i="0" u="none" strike="noStrike">
                  <a:solidFill>
                    <a:srgbClr val="FF0000"/>
                  </a:solidFill>
                  <a:latin typeface="Aptos Narrow"/>
                </a:rPr>
                <a:pPr/>
                <a:t>-57.3%↓</a:t>
              </a:fld>
              <a:endParaRPr lang="en-US" sz="1100">
                <a:solidFill>
                  <a:srgbClr val="FF0000"/>
                </a:solidFill>
              </a:endParaRPr>
            </a:p>
          </xdr:txBody>
        </xdr:sp>
        <xdr:sp macro="" textlink="Pharmacy_Analysis_Clean!#REF!">
          <xdr:nvSpPr>
            <xdr:cNvPr id="46" name="TextBox 45">
              <a:extLst>
                <a:ext uri="{FF2B5EF4-FFF2-40B4-BE49-F238E27FC236}">
                  <a16:creationId xmlns:a16="http://schemas.microsoft.com/office/drawing/2014/main" id="{D390D027-8BE1-F70D-EA8A-84FECFFFE79F}"/>
                </a:ext>
              </a:extLst>
            </xdr:cNvPr>
            <xdr:cNvSpPr txBox="1"/>
          </xdr:nvSpPr>
          <xdr:spPr>
            <a:xfrm>
              <a:off x="4153647" y="1189725"/>
              <a:ext cx="522223" cy="280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tx1"/>
                  </a:solidFill>
                </a:rPr>
                <a:t>vs</a:t>
              </a:r>
              <a:r>
                <a:rPr lang="en-US" sz="1100" b="1" baseline="0">
                  <a:solidFill>
                    <a:schemeClr val="tx1"/>
                  </a:solidFill>
                </a:rPr>
                <a:t> PY</a:t>
              </a:r>
              <a:endParaRPr lang="en-US" sz="1100" b="1">
                <a:solidFill>
                  <a:schemeClr val="tx1"/>
                </a:solidFill>
              </a:endParaRPr>
            </a:p>
          </xdr:txBody>
        </xdr:sp>
      </xdr:grpSp>
      <xdr:grpSp>
        <xdr:nvGrpSpPr>
          <xdr:cNvPr id="22" name="Group 21">
            <a:extLst>
              <a:ext uri="{FF2B5EF4-FFF2-40B4-BE49-F238E27FC236}">
                <a16:creationId xmlns:a16="http://schemas.microsoft.com/office/drawing/2014/main" id="{F7FAB45B-4DF9-E3E6-AC6B-534132F11F33}"/>
              </a:ext>
            </a:extLst>
          </xdr:cNvPr>
          <xdr:cNvGrpSpPr/>
        </xdr:nvGrpSpPr>
        <xdr:grpSpPr>
          <a:xfrm>
            <a:off x="5832744" y="1114099"/>
            <a:ext cx="1537380" cy="726640"/>
            <a:chOff x="4922662" y="754239"/>
            <a:chExt cx="1528233" cy="729646"/>
          </a:xfrm>
        </xdr:grpSpPr>
        <xdr:sp macro="" textlink="">
          <xdr:nvSpPr>
            <xdr:cNvPr id="48" name="Rectangle: Top Corners Rounded 47">
              <a:extLst>
                <a:ext uri="{FF2B5EF4-FFF2-40B4-BE49-F238E27FC236}">
                  <a16:creationId xmlns:a16="http://schemas.microsoft.com/office/drawing/2014/main" id="{5E4B2384-A551-2CD9-0B8D-55411B4BC072}"/>
                </a:ext>
              </a:extLst>
            </xdr:cNvPr>
            <xdr:cNvSpPr/>
          </xdr:nvSpPr>
          <xdr:spPr>
            <a:xfrm>
              <a:off x="4922662" y="796831"/>
              <a:ext cx="1528233" cy="683424"/>
            </a:xfrm>
            <a:prstGeom prst="round2SameRect">
              <a:avLst>
                <a:gd name="adj1" fmla="val 0"/>
                <a:gd name="adj2" fmla="val 0"/>
              </a:avLst>
            </a:prstGeom>
            <a:solidFill>
              <a:srgbClr val="EBEBF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9" name="TextBox 48">
              <a:extLst>
                <a:ext uri="{FF2B5EF4-FFF2-40B4-BE49-F238E27FC236}">
                  <a16:creationId xmlns:a16="http://schemas.microsoft.com/office/drawing/2014/main" id="{63D5FB14-015C-BBBB-B8DB-6B7FD0294B7B}"/>
                </a:ext>
              </a:extLst>
            </xdr:cNvPr>
            <xdr:cNvSpPr txBox="1"/>
          </xdr:nvSpPr>
          <xdr:spPr>
            <a:xfrm>
              <a:off x="5299176" y="754239"/>
              <a:ext cx="825046" cy="2335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tx1"/>
                  </a:solidFill>
                  <a:latin typeface="Arial" panose="020B0604020202020204" pitchFamily="34" charset="0"/>
                  <a:cs typeface="Arial" panose="020B0604020202020204" pitchFamily="34" charset="0"/>
                </a:rPr>
                <a:t>Qty.</a:t>
              </a:r>
              <a:r>
                <a:rPr lang="en-US" sz="1100" baseline="0">
                  <a:solidFill>
                    <a:schemeClr val="tx1"/>
                  </a:solidFill>
                  <a:latin typeface="Arial" panose="020B0604020202020204" pitchFamily="34" charset="0"/>
                  <a:cs typeface="Arial" panose="020B0604020202020204" pitchFamily="34" charset="0"/>
                </a:rPr>
                <a:t> Sold</a:t>
              </a:r>
              <a:endParaRPr lang="en-US" sz="1100">
                <a:solidFill>
                  <a:schemeClr val="tx1"/>
                </a:solidFill>
                <a:latin typeface="Arial" panose="020B0604020202020204" pitchFamily="34" charset="0"/>
                <a:cs typeface="Arial" panose="020B0604020202020204" pitchFamily="34" charset="0"/>
              </a:endParaRPr>
            </a:p>
          </xdr:txBody>
        </xdr:sp>
        <xdr:sp macro="" textlink="Pivot!K40">
          <xdr:nvSpPr>
            <xdr:cNvPr id="50" name="TextBox 49">
              <a:extLst>
                <a:ext uri="{FF2B5EF4-FFF2-40B4-BE49-F238E27FC236}">
                  <a16:creationId xmlns:a16="http://schemas.microsoft.com/office/drawing/2014/main" id="{85F128DB-ED23-BCF7-F092-A3704B05BE48}"/>
                </a:ext>
              </a:extLst>
            </xdr:cNvPr>
            <xdr:cNvSpPr txBox="1"/>
          </xdr:nvSpPr>
          <xdr:spPr>
            <a:xfrm>
              <a:off x="5301300" y="888331"/>
              <a:ext cx="834210" cy="3057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E242B67-243D-4CF4-96C1-1B4A7B2CBCC2}" type="TxLink">
                <a:rPr lang="en-US" sz="1800" b="1" i="0" u="none" strike="noStrike">
                  <a:solidFill>
                    <a:srgbClr val="000000"/>
                  </a:solidFill>
                  <a:latin typeface="Aptos Narrow"/>
                </a:rPr>
                <a:pPr/>
                <a:t>55,987</a:t>
              </a:fld>
              <a:endParaRPr lang="en-US" sz="4800" b="1">
                <a:solidFill>
                  <a:schemeClr val="tx1"/>
                </a:solidFill>
              </a:endParaRPr>
            </a:p>
          </xdr:txBody>
        </xdr:sp>
        <xdr:sp macro="" textlink="Pivot!M47">
          <xdr:nvSpPr>
            <xdr:cNvPr id="51" name="TextBox 50">
              <a:extLst>
                <a:ext uri="{FF2B5EF4-FFF2-40B4-BE49-F238E27FC236}">
                  <a16:creationId xmlns:a16="http://schemas.microsoft.com/office/drawing/2014/main" id="{B3B20647-7ECF-CDDF-D05B-2AA6B7A5B7D2}"/>
                </a:ext>
              </a:extLst>
            </xdr:cNvPr>
            <xdr:cNvSpPr txBox="1"/>
          </xdr:nvSpPr>
          <xdr:spPr>
            <a:xfrm>
              <a:off x="5152714" y="1198788"/>
              <a:ext cx="703245" cy="2850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06FEB9B-A025-4297-8EBB-7D52A922F100}" type="TxLink">
                <a:rPr lang="en-US" sz="1100" b="0" i="0" u="none" strike="noStrike">
                  <a:solidFill>
                    <a:srgbClr val="FF0000"/>
                  </a:solidFill>
                  <a:latin typeface="Aptos Narrow"/>
                </a:rPr>
                <a:pPr/>
                <a:t>-58.2%↓</a:t>
              </a:fld>
              <a:endParaRPr lang="en-US" sz="1100">
                <a:solidFill>
                  <a:srgbClr val="FF0000"/>
                </a:solidFill>
              </a:endParaRPr>
            </a:p>
          </xdr:txBody>
        </xdr:sp>
        <xdr:sp macro="" textlink="Pharmacy_Analysis_Clean!#REF!">
          <xdr:nvSpPr>
            <xdr:cNvPr id="52" name="TextBox 51">
              <a:extLst>
                <a:ext uri="{FF2B5EF4-FFF2-40B4-BE49-F238E27FC236}">
                  <a16:creationId xmlns:a16="http://schemas.microsoft.com/office/drawing/2014/main" id="{1D670865-4E3D-1F91-01FB-FCB9207F38CC}"/>
                </a:ext>
              </a:extLst>
            </xdr:cNvPr>
            <xdr:cNvSpPr txBox="1"/>
          </xdr:nvSpPr>
          <xdr:spPr>
            <a:xfrm>
              <a:off x="5699513" y="1191108"/>
              <a:ext cx="515793" cy="2850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tx1"/>
                  </a:solidFill>
                </a:rPr>
                <a:t>vs</a:t>
              </a:r>
              <a:r>
                <a:rPr lang="en-US" sz="1100" b="1" baseline="0">
                  <a:solidFill>
                    <a:schemeClr val="tx1"/>
                  </a:solidFill>
                </a:rPr>
                <a:t> PY</a:t>
              </a:r>
              <a:endParaRPr lang="en-US" sz="1100" b="1">
                <a:solidFill>
                  <a:schemeClr val="tx1"/>
                </a:solidFill>
              </a:endParaRPr>
            </a:p>
          </xdr:txBody>
        </xdr:sp>
      </xdr:grpSp>
      <xdr:grpSp>
        <xdr:nvGrpSpPr>
          <xdr:cNvPr id="23" name="Group 22">
            <a:extLst>
              <a:ext uri="{FF2B5EF4-FFF2-40B4-BE49-F238E27FC236}">
                <a16:creationId xmlns:a16="http://schemas.microsoft.com/office/drawing/2014/main" id="{FF8E7A1E-E8C4-C8E4-6B22-21624B1BBA5A}"/>
              </a:ext>
            </a:extLst>
          </xdr:cNvPr>
          <xdr:cNvGrpSpPr/>
        </xdr:nvGrpSpPr>
        <xdr:grpSpPr>
          <a:xfrm>
            <a:off x="7561054" y="1114099"/>
            <a:ext cx="1584936" cy="722384"/>
            <a:chOff x="6605411" y="748534"/>
            <a:chExt cx="1575506" cy="725372"/>
          </a:xfrm>
        </xdr:grpSpPr>
        <xdr:sp macro="" textlink="">
          <xdr:nvSpPr>
            <xdr:cNvPr id="77" name="Rectangle: Top Corners Rounded 76">
              <a:extLst>
                <a:ext uri="{FF2B5EF4-FFF2-40B4-BE49-F238E27FC236}">
                  <a16:creationId xmlns:a16="http://schemas.microsoft.com/office/drawing/2014/main" id="{1E150A60-85C7-03FF-C0C8-72D3C6EE5F91}"/>
                </a:ext>
              </a:extLst>
            </xdr:cNvPr>
            <xdr:cNvSpPr/>
          </xdr:nvSpPr>
          <xdr:spPr>
            <a:xfrm>
              <a:off x="6605411" y="803626"/>
              <a:ext cx="1575506" cy="670280"/>
            </a:xfrm>
            <a:prstGeom prst="round2SameRect">
              <a:avLst>
                <a:gd name="adj1" fmla="val 0"/>
                <a:gd name="adj2" fmla="val 0"/>
              </a:avLst>
            </a:prstGeom>
            <a:solidFill>
              <a:srgbClr val="EBEBF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8" name="TextBox 77">
              <a:extLst>
                <a:ext uri="{FF2B5EF4-FFF2-40B4-BE49-F238E27FC236}">
                  <a16:creationId xmlns:a16="http://schemas.microsoft.com/office/drawing/2014/main" id="{2A8D7844-560D-4BF0-6615-3E8A32F726D1}"/>
                </a:ext>
              </a:extLst>
            </xdr:cNvPr>
            <xdr:cNvSpPr txBox="1"/>
          </xdr:nvSpPr>
          <xdr:spPr>
            <a:xfrm>
              <a:off x="7054605" y="748534"/>
              <a:ext cx="878662" cy="3532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tx1"/>
                  </a:solidFill>
                  <a:latin typeface="Arial" panose="020B0604020202020204" pitchFamily="34" charset="0"/>
                  <a:cs typeface="Arial" panose="020B0604020202020204" pitchFamily="34" charset="0"/>
                </a:rPr>
                <a:t>Avg.</a:t>
              </a:r>
              <a:r>
                <a:rPr lang="en-US" sz="1100" baseline="0">
                  <a:solidFill>
                    <a:schemeClr val="tx1"/>
                  </a:solidFill>
                  <a:latin typeface="Arial" panose="020B0604020202020204" pitchFamily="34" charset="0"/>
                  <a:cs typeface="Arial" panose="020B0604020202020204" pitchFamily="34" charset="0"/>
                </a:rPr>
                <a:t> Price</a:t>
              </a:r>
              <a:endParaRPr lang="en-US" sz="1100">
                <a:solidFill>
                  <a:schemeClr val="tx1"/>
                </a:solidFill>
                <a:latin typeface="Arial" panose="020B0604020202020204" pitchFamily="34" charset="0"/>
                <a:cs typeface="Arial" panose="020B0604020202020204" pitchFamily="34" charset="0"/>
              </a:endParaRPr>
            </a:p>
          </xdr:txBody>
        </xdr:sp>
        <xdr:sp macro="" textlink="Pharmacy_Analysis_Clean!K504">
          <xdr:nvSpPr>
            <xdr:cNvPr id="80" name="TextBox 79">
              <a:extLst>
                <a:ext uri="{FF2B5EF4-FFF2-40B4-BE49-F238E27FC236}">
                  <a16:creationId xmlns:a16="http://schemas.microsoft.com/office/drawing/2014/main" id="{7250BEED-11E1-6AE1-DE18-4ABE719E1BA1}"/>
                </a:ext>
              </a:extLst>
            </xdr:cNvPr>
            <xdr:cNvSpPr txBox="1"/>
          </xdr:nvSpPr>
          <xdr:spPr>
            <a:xfrm>
              <a:off x="7035012" y="892527"/>
              <a:ext cx="858423" cy="297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EFB2582-30C0-4A2E-8FC8-0AF356265C87}" type="TxLink">
                <a:rPr lang="en-US" sz="1800" b="1" i="0" u="none" strike="noStrike">
                  <a:solidFill>
                    <a:srgbClr val="000000"/>
                  </a:solidFill>
                  <a:latin typeface="Aptos Narrow"/>
                </a:rPr>
                <a:pPr/>
                <a:t>$65</a:t>
              </a:fld>
              <a:endParaRPr lang="en-US" sz="3200" b="1">
                <a:solidFill>
                  <a:schemeClr val="tx1"/>
                </a:solidFill>
              </a:endParaRPr>
            </a:p>
          </xdr:txBody>
        </xdr:sp>
      </xdr:grpSp>
      <xdr:cxnSp macro="">
        <xdr:nvCxnSpPr>
          <xdr:cNvPr id="84" name="Straight Connector 83">
            <a:extLst>
              <a:ext uri="{FF2B5EF4-FFF2-40B4-BE49-F238E27FC236}">
                <a16:creationId xmlns:a16="http://schemas.microsoft.com/office/drawing/2014/main" id="{6CC4AF20-BC47-23AC-8113-9E7A811FEF8A}"/>
              </a:ext>
            </a:extLst>
          </xdr:cNvPr>
          <xdr:cNvCxnSpPr/>
        </xdr:nvCxnSpPr>
        <xdr:spPr>
          <a:xfrm>
            <a:off x="2270368" y="1162642"/>
            <a:ext cx="19164" cy="4771689"/>
          </a:xfrm>
          <a:prstGeom prst="line">
            <a:avLst/>
          </a:prstGeom>
          <a:ln>
            <a:solidFill>
              <a:srgbClr val="082040">
                <a:alpha val="80000"/>
              </a:srgbClr>
            </a:solidFill>
          </a:ln>
        </xdr:spPr>
        <xdr:style>
          <a:lnRef idx="2">
            <a:schemeClr val="accent1"/>
          </a:lnRef>
          <a:fillRef idx="0">
            <a:schemeClr val="accent1"/>
          </a:fillRef>
          <a:effectRef idx="1">
            <a:schemeClr val="accent1"/>
          </a:effectRef>
          <a:fontRef idx="minor">
            <a:schemeClr val="tx1"/>
          </a:fontRef>
        </xdr:style>
      </xdr:cxnSp>
      <xdr:cxnSp macro="">
        <xdr:nvCxnSpPr>
          <xdr:cNvPr id="85" name="Straight Connector 84">
            <a:extLst>
              <a:ext uri="{FF2B5EF4-FFF2-40B4-BE49-F238E27FC236}">
                <a16:creationId xmlns:a16="http://schemas.microsoft.com/office/drawing/2014/main" id="{F3CA0750-AF4F-2E57-A113-6A64521BE50A}"/>
              </a:ext>
            </a:extLst>
          </xdr:cNvPr>
          <xdr:cNvCxnSpPr/>
        </xdr:nvCxnSpPr>
        <xdr:spPr>
          <a:xfrm>
            <a:off x="2263980" y="1149994"/>
            <a:ext cx="10105114" cy="12648"/>
          </a:xfrm>
          <a:prstGeom prst="line">
            <a:avLst/>
          </a:prstGeom>
          <a:ln>
            <a:solidFill>
              <a:srgbClr val="082040">
                <a:alpha val="80000"/>
              </a:srgbClr>
            </a:solidFill>
          </a:ln>
        </xdr:spPr>
        <xdr:style>
          <a:lnRef idx="2">
            <a:schemeClr val="accent1"/>
          </a:lnRef>
          <a:fillRef idx="0">
            <a:schemeClr val="accent1"/>
          </a:fillRef>
          <a:effectRef idx="1">
            <a:schemeClr val="accent1"/>
          </a:effectRef>
          <a:fontRef idx="minor">
            <a:schemeClr val="tx1"/>
          </a:fontRef>
        </xdr:style>
      </xdr:cxnSp>
      <xdr:graphicFrame macro="">
        <xdr:nvGraphicFramePr>
          <xdr:cNvPr id="87" name="Chart 86">
            <a:extLst>
              <a:ext uri="{FF2B5EF4-FFF2-40B4-BE49-F238E27FC236}">
                <a16:creationId xmlns:a16="http://schemas.microsoft.com/office/drawing/2014/main" id="{F3B67359-E380-4287-B406-40F2F8343925}"/>
              </a:ext>
            </a:extLst>
          </xdr:cNvPr>
          <xdr:cNvGraphicFramePr>
            <a:graphicFrameLocks/>
          </xdr:cNvGraphicFramePr>
        </xdr:nvGraphicFramePr>
        <xdr:xfrm>
          <a:off x="2300177" y="1962958"/>
          <a:ext cx="6859697" cy="1890126"/>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88" name="Chart 87">
            <a:extLst>
              <a:ext uri="{FF2B5EF4-FFF2-40B4-BE49-F238E27FC236}">
                <a16:creationId xmlns:a16="http://schemas.microsoft.com/office/drawing/2014/main" id="{E2D7DEA4-89DC-45A5-907F-295F87DC33E6}"/>
              </a:ext>
            </a:extLst>
          </xdr:cNvPr>
          <xdr:cNvGraphicFramePr>
            <a:graphicFrameLocks/>
          </xdr:cNvGraphicFramePr>
        </xdr:nvGraphicFramePr>
        <xdr:xfrm>
          <a:off x="2310825" y="3979557"/>
          <a:ext cx="3318213" cy="1961774"/>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89" name="Chart 88">
            <a:extLst>
              <a:ext uri="{FF2B5EF4-FFF2-40B4-BE49-F238E27FC236}">
                <a16:creationId xmlns:a16="http://schemas.microsoft.com/office/drawing/2014/main" id="{AC583310-082F-49B8-A887-B3429C6A7C51}"/>
              </a:ext>
            </a:extLst>
          </xdr:cNvPr>
          <xdr:cNvGraphicFramePr>
            <a:graphicFrameLocks/>
          </xdr:cNvGraphicFramePr>
        </xdr:nvGraphicFramePr>
        <xdr:xfrm>
          <a:off x="9270200" y="1197071"/>
          <a:ext cx="3073342" cy="2487085"/>
        </xdr:xfrm>
        <a:graphic>
          <a:graphicData uri="http://schemas.openxmlformats.org/drawingml/2006/chart">
            <c:chart xmlns:c="http://schemas.openxmlformats.org/drawingml/2006/chart" xmlns:r="http://schemas.openxmlformats.org/officeDocument/2006/relationships" r:id="rId3"/>
          </a:graphicData>
        </a:graphic>
      </xdr:graphicFrame>
      <xdr:sp macro="" textlink="">
        <xdr:nvSpPr>
          <xdr:cNvPr id="7" name="TextBox 6">
            <a:extLst>
              <a:ext uri="{FF2B5EF4-FFF2-40B4-BE49-F238E27FC236}">
                <a16:creationId xmlns:a16="http://schemas.microsoft.com/office/drawing/2014/main" id="{F50020D2-C7CA-A57F-9004-62957A40E0A3}"/>
              </a:ext>
            </a:extLst>
          </xdr:cNvPr>
          <xdr:cNvSpPr txBox="1"/>
        </xdr:nvSpPr>
        <xdr:spPr>
          <a:xfrm>
            <a:off x="2337547" y="440667"/>
            <a:ext cx="3341175" cy="3207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rgbClr val="082040"/>
                </a:solidFill>
              </a:rPr>
              <a:t>PHARMACY SALES DASHBOARD</a:t>
            </a:r>
          </a:p>
        </xdr:txBody>
      </xdr:sp>
      <xdr:sp macro="" textlink="">
        <xdr:nvSpPr>
          <xdr:cNvPr id="4" name="TextBox 3">
            <a:extLst>
              <a:ext uri="{FF2B5EF4-FFF2-40B4-BE49-F238E27FC236}">
                <a16:creationId xmlns:a16="http://schemas.microsoft.com/office/drawing/2014/main" id="{5B5813F6-7873-2787-76F8-2BD3969DD67F}"/>
              </a:ext>
            </a:extLst>
          </xdr:cNvPr>
          <xdr:cNvSpPr txBox="1"/>
        </xdr:nvSpPr>
        <xdr:spPr>
          <a:xfrm>
            <a:off x="2356960" y="754404"/>
            <a:ext cx="3903781" cy="231874"/>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i="1">
                <a:solidFill>
                  <a:schemeClr val="tx2"/>
                </a:solidFill>
              </a:rPr>
              <a:t>Analysing Sales</a:t>
            </a:r>
            <a:r>
              <a:rPr lang="en-US" sz="1100" b="1" i="1" baseline="0">
                <a:solidFill>
                  <a:schemeClr val="tx2"/>
                </a:solidFill>
              </a:rPr>
              <a:t> Performance and Regional Health Trend</a:t>
            </a:r>
            <a:endParaRPr lang="en-US" sz="1100" b="1" i="1">
              <a:solidFill>
                <a:schemeClr val="tx2"/>
              </a:solidFill>
            </a:endParaRPr>
          </a:p>
        </xdr:txBody>
      </xdr:sp>
      <xdr:pic>
        <xdr:nvPicPr>
          <xdr:cNvPr id="25" name="Graphic 24" descr="Bar graph with upward trend outline">
            <a:extLst>
              <a:ext uri="{FF2B5EF4-FFF2-40B4-BE49-F238E27FC236}">
                <a16:creationId xmlns:a16="http://schemas.microsoft.com/office/drawing/2014/main" id="{18E93C1E-5B05-5C44-769D-F57D29FA8979}"/>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2428874" y="1206499"/>
            <a:ext cx="368375" cy="368375"/>
          </a:xfrm>
          <a:prstGeom prst="rect">
            <a:avLst/>
          </a:prstGeom>
        </xdr:spPr>
      </xdr:pic>
      <xdr:pic>
        <xdr:nvPicPr>
          <xdr:cNvPr id="27" name="Graphic 26" descr="Delivery with solid fill">
            <a:extLst>
              <a:ext uri="{FF2B5EF4-FFF2-40B4-BE49-F238E27FC236}">
                <a16:creationId xmlns:a16="http://schemas.microsoft.com/office/drawing/2014/main" id="{5A80A402-0C03-0146-4EAC-541C04B28488}"/>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864998" y="1165999"/>
            <a:ext cx="368375" cy="368375"/>
          </a:xfrm>
          <a:prstGeom prst="rect">
            <a:avLst/>
          </a:prstGeom>
        </xdr:spPr>
      </xdr:pic>
      <xdr:pic>
        <xdr:nvPicPr>
          <xdr:cNvPr id="33" name="Graphic 32" descr="Money with solid fill">
            <a:extLst>
              <a:ext uri="{FF2B5EF4-FFF2-40B4-BE49-F238E27FC236}">
                <a16:creationId xmlns:a16="http://schemas.microsoft.com/office/drawing/2014/main" id="{D01D5527-573D-4CA8-3433-F3D7B3592AC8}"/>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4163937" y="1163561"/>
            <a:ext cx="368375" cy="368375"/>
          </a:xfrm>
          <a:prstGeom prst="rect">
            <a:avLst/>
          </a:prstGeom>
        </xdr:spPr>
      </xdr:pic>
      <xdr:pic>
        <xdr:nvPicPr>
          <xdr:cNvPr id="35" name="Graphic 34" descr="Label with solid fill">
            <a:extLst>
              <a:ext uri="{FF2B5EF4-FFF2-40B4-BE49-F238E27FC236}">
                <a16:creationId xmlns:a16="http://schemas.microsoft.com/office/drawing/2014/main" id="{7F439C1C-2C7B-C13E-7599-8094FDD58C9B}"/>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7635874" y="1150936"/>
            <a:ext cx="412750" cy="412750"/>
          </a:xfrm>
          <a:prstGeom prst="rect">
            <a:avLst/>
          </a:prstGeom>
        </xdr:spPr>
      </xdr:pic>
      <xdr:sp macro="" textlink="">
        <xdr:nvSpPr>
          <xdr:cNvPr id="37" name="Rectangle: Rounded Corners 36">
            <a:hlinkClick xmlns:r="http://schemas.openxmlformats.org/officeDocument/2006/relationships" r:id="rId12"/>
            <a:extLst>
              <a:ext uri="{FF2B5EF4-FFF2-40B4-BE49-F238E27FC236}">
                <a16:creationId xmlns:a16="http://schemas.microsoft.com/office/drawing/2014/main" id="{E42405C8-AFE2-2615-8A3D-D9BE1FD7B2C9}"/>
              </a:ext>
            </a:extLst>
          </xdr:cNvPr>
          <xdr:cNvSpPr/>
        </xdr:nvSpPr>
        <xdr:spPr>
          <a:xfrm>
            <a:off x="7485062" y="644525"/>
            <a:ext cx="2016125" cy="277812"/>
          </a:xfrm>
          <a:prstGeom prst="roundRect">
            <a:avLst/>
          </a:prstGeom>
          <a:solidFill>
            <a:srgbClr val="4F5F80"/>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a:solidFill>
                  <a:schemeClr val="bg1"/>
                </a:solidFill>
              </a:rPr>
              <a:t>Sales</a:t>
            </a:r>
            <a:r>
              <a:rPr lang="en-US" sz="1200" baseline="0">
                <a:solidFill>
                  <a:schemeClr val="bg1"/>
                </a:solidFill>
              </a:rPr>
              <a:t> Performance Analysis</a:t>
            </a:r>
            <a:endParaRPr lang="en-US" sz="1200">
              <a:solidFill>
                <a:schemeClr val="bg1"/>
              </a:solidFill>
            </a:endParaRPr>
          </a:p>
        </xdr:txBody>
      </xdr:sp>
      <xdr:sp macro="" textlink="">
        <xdr:nvSpPr>
          <xdr:cNvPr id="38" name="Rectangle: Rounded Corners 37">
            <a:hlinkClick xmlns:r="http://schemas.openxmlformats.org/officeDocument/2006/relationships" r:id="rId13"/>
            <a:extLst>
              <a:ext uri="{FF2B5EF4-FFF2-40B4-BE49-F238E27FC236}">
                <a16:creationId xmlns:a16="http://schemas.microsoft.com/office/drawing/2014/main" id="{233D0963-3DD1-3AAE-CA57-EDE0FAB39FD2}"/>
              </a:ext>
            </a:extLst>
          </xdr:cNvPr>
          <xdr:cNvSpPr/>
        </xdr:nvSpPr>
        <xdr:spPr>
          <a:xfrm>
            <a:off x="10074274" y="644525"/>
            <a:ext cx="2016125" cy="277812"/>
          </a:xfrm>
          <a:prstGeom prst="roundRect">
            <a:avLst/>
          </a:prstGeom>
          <a:solidFill>
            <a:srgbClr val="4F5F80"/>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Monthly &amp; Regional Health Trend</a:t>
            </a:r>
          </a:p>
        </xdr:txBody>
      </xdr:sp>
      <xdr:sp macro="" textlink="">
        <xdr:nvSpPr>
          <xdr:cNvPr id="39" name="TextBox 38">
            <a:extLst>
              <a:ext uri="{FF2B5EF4-FFF2-40B4-BE49-F238E27FC236}">
                <a16:creationId xmlns:a16="http://schemas.microsoft.com/office/drawing/2014/main" id="{66BD75C4-D061-E333-4DD9-47E89AD83561}"/>
              </a:ext>
            </a:extLst>
          </xdr:cNvPr>
          <xdr:cNvSpPr txBox="1"/>
        </xdr:nvSpPr>
        <xdr:spPr>
          <a:xfrm>
            <a:off x="2293937" y="1960561"/>
            <a:ext cx="3698875" cy="246063"/>
          </a:xfrm>
          <a:prstGeom prst="rect">
            <a:avLst/>
          </a:prstGeom>
          <a:solidFill>
            <a:srgbClr val="EBEBF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How</a:t>
            </a:r>
            <a:r>
              <a:rPr lang="en-US" sz="1100" b="1" baseline="0"/>
              <a:t> did r</a:t>
            </a:r>
            <a:r>
              <a:rPr lang="en-US" sz="1100" b="1"/>
              <a:t>evenue trend over months?</a:t>
            </a:r>
          </a:p>
        </xdr:txBody>
      </xdr:sp>
      <xdr:sp macro="" textlink="">
        <xdr:nvSpPr>
          <xdr:cNvPr id="40" name="TextBox 39">
            <a:extLst>
              <a:ext uri="{FF2B5EF4-FFF2-40B4-BE49-F238E27FC236}">
                <a16:creationId xmlns:a16="http://schemas.microsoft.com/office/drawing/2014/main" id="{99A39F4F-3DA3-94B3-90CB-689A418BD4B9}"/>
              </a:ext>
            </a:extLst>
          </xdr:cNvPr>
          <xdr:cNvSpPr txBox="1"/>
        </xdr:nvSpPr>
        <xdr:spPr>
          <a:xfrm>
            <a:off x="9288463" y="1166813"/>
            <a:ext cx="3054350" cy="255588"/>
          </a:xfrm>
          <a:prstGeom prst="rect">
            <a:avLst/>
          </a:prstGeom>
          <a:solidFill>
            <a:srgbClr val="EBEBF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tx1"/>
                </a:solidFill>
              </a:rPr>
              <a:t>Is</a:t>
            </a:r>
            <a:r>
              <a:rPr lang="en-US" sz="1100" b="1" baseline="0">
                <a:solidFill>
                  <a:schemeClr val="tx1"/>
                </a:solidFill>
              </a:rPr>
              <a:t> quantity sold by reps proportional to revenue?</a:t>
            </a:r>
            <a:endParaRPr lang="en-US" sz="1100" b="1">
              <a:solidFill>
                <a:schemeClr val="tx1"/>
              </a:solidFill>
            </a:endParaRPr>
          </a:p>
        </xdr:txBody>
      </xdr:sp>
      <xdr:sp macro="" textlink="">
        <xdr:nvSpPr>
          <xdr:cNvPr id="54" name="TextBox 53">
            <a:extLst>
              <a:ext uri="{FF2B5EF4-FFF2-40B4-BE49-F238E27FC236}">
                <a16:creationId xmlns:a16="http://schemas.microsoft.com/office/drawing/2014/main" id="{997007A7-C048-1B2F-8570-A399738FC671}"/>
              </a:ext>
            </a:extLst>
          </xdr:cNvPr>
          <xdr:cNvSpPr txBox="1"/>
        </xdr:nvSpPr>
        <xdr:spPr>
          <a:xfrm>
            <a:off x="2293937" y="3976688"/>
            <a:ext cx="3341687" cy="246062"/>
          </a:xfrm>
          <a:prstGeom prst="rect">
            <a:avLst/>
          </a:prstGeom>
          <a:solidFill>
            <a:srgbClr val="EBEBF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baseline="0">
                <a:solidFill>
                  <a:schemeClr val="tx1"/>
                </a:solidFill>
              </a:rPr>
              <a:t>Which drug class contributes the most revenue?</a:t>
            </a:r>
            <a:endParaRPr lang="en-US" sz="1100" b="1">
              <a:solidFill>
                <a:schemeClr val="tx1"/>
              </a:solidFill>
            </a:endParaRPr>
          </a:p>
        </xdr:txBody>
      </xdr:sp>
      <xdr:pic>
        <xdr:nvPicPr>
          <xdr:cNvPr id="26" name="Picture 25">
            <a:extLst>
              <a:ext uri="{FF2B5EF4-FFF2-40B4-BE49-F238E27FC236}">
                <a16:creationId xmlns:a16="http://schemas.microsoft.com/office/drawing/2014/main" id="{0BA68746-1686-37E2-AF87-E4EDD1770968}"/>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1119187" y="563563"/>
            <a:ext cx="754063" cy="754063"/>
          </a:xfrm>
          <a:prstGeom prst="rect">
            <a:avLst/>
          </a:prstGeom>
        </xdr:spPr>
      </xdr:pic>
      <mc:AlternateContent xmlns:mc="http://schemas.openxmlformats.org/markup-compatibility/2006" xmlns:a14="http://schemas.microsoft.com/office/drawing/2010/main">
        <mc:Choice Requires="a14">
          <xdr:graphicFrame macro="">
            <xdr:nvGraphicFramePr>
              <xdr:cNvPr id="28" name="Years (Date) 2">
                <a:extLst>
                  <a:ext uri="{FF2B5EF4-FFF2-40B4-BE49-F238E27FC236}">
                    <a16:creationId xmlns:a16="http://schemas.microsoft.com/office/drawing/2014/main" id="{B59F0085-64C8-4422-9021-77F6E6DFCA17}"/>
                  </a:ext>
                </a:extLst>
              </xdr:cNvPr>
              <xdr:cNvGraphicFramePr/>
            </xdr:nvGraphicFramePr>
            <xdr:xfrm>
              <a:off x="814772" y="1846793"/>
              <a:ext cx="1342638" cy="1002769"/>
            </xdr:xfrm>
            <a:graphic>
              <a:graphicData uri="http://schemas.microsoft.com/office/drawing/2010/slicer">
                <sle:slicer xmlns:sle="http://schemas.microsoft.com/office/drawing/2010/slicer" name="Years (Date) 2"/>
              </a:graphicData>
            </a:graphic>
          </xdr:graphicFrame>
        </mc:Choice>
        <mc:Fallback xmlns="">
          <xdr:sp macro="" textlink="">
            <xdr:nvSpPr>
              <xdr:cNvPr id="0" name=""/>
              <xdr:cNvSpPr>
                <a:spLocks noTextEdit="1"/>
              </xdr:cNvSpPr>
            </xdr:nvSpPr>
            <xdr:spPr>
              <a:xfrm>
                <a:off x="134939" y="1703917"/>
                <a:ext cx="1342638" cy="10027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aphicFrame macro="">
        <xdr:nvGraphicFramePr>
          <xdr:cNvPr id="31" name="Chart 30">
            <a:extLst>
              <a:ext uri="{FF2B5EF4-FFF2-40B4-BE49-F238E27FC236}">
                <a16:creationId xmlns:a16="http://schemas.microsoft.com/office/drawing/2014/main" id="{9CDD9823-050F-4FED-9F30-37AC325703D1}"/>
              </a:ext>
            </a:extLst>
          </xdr:cNvPr>
          <xdr:cNvGraphicFramePr>
            <a:graphicFrameLocks/>
          </xdr:cNvGraphicFramePr>
        </xdr:nvGraphicFramePr>
        <xdr:xfrm>
          <a:off x="5730875" y="3968748"/>
          <a:ext cx="3421062" cy="1976439"/>
        </xdr:xfrm>
        <a:graphic>
          <a:graphicData uri="http://schemas.openxmlformats.org/drawingml/2006/chart">
            <c:chart xmlns:c="http://schemas.openxmlformats.org/drawingml/2006/chart" xmlns:r="http://schemas.openxmlformats.org/officeDocument/2006/relationships" r:id="rId15"/>
          </a:graphicData>
        </a:graphic>
      </xdr:graphicFrame>
      <xdr:sp macro="" textlink="">
        <xdr:nvSpPr>
          <xdr:cNvPr id="32" name="TextBox 31">
            <a:extLst>
              <a:ext uri="{FF2B5EF4-FFF2-40B4-BE49-F238E27FC236}">
                <a16:creationId xmlns:a16="http://schemas.microsoft.com/office/drawing/2014/main" id="{D9D2147C-4FDE-4CC5-9FDF-4A0020CB997E}"/>
              </a:ext>
            </a:extLst>
          </xdr:cNvPr>
          <xdr:cNvSpPr txBox="1"/>
        </xdr:nvSpPr>
        <xdr:spPr>
          <a:xfrm>
            <a:off x="5762625" y="3976687"/>
            <a:ext cx="3400425" cy="233363"/>
          </a:xfrm>
          <a:prstGeom prst="rect">
            <a:avLst/>
          </a:prstGeom>
          <a:solidFill>
            <a:srgbClr val="EBEBF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tx1"/>
                </a:solidFill>
              </a:rPr>
              <a:t>Does increase in quantity sold translate to more</a:t>
            </a:r>
            <a:r>
              <a:rPr lang="en-US" sz="1100" b="1" baseline="0">
                <a:solidFill>
                  <a:schemeClr val="tx1"/>
                </a:solidFill>
              </a:rPr>
              <a:t> profit?</a:t>
            </a:r>
            <a:endParaRPr lang="en-US" sz="1100" b="1">
              <a:solidFill>
                <a:schemeClr val="tx1"/>
              </a:solidFill>
            </a:endParaRPr>
          </a:p>
        </xdr:txBody>
      </xdr:sp>
      <xdr:grpSp>
        <xdr:nvGrpSpPr>
          <xdr:cNvPr id="20" name="Group 19">
            <a:extLst>
              <a:ext uri="{FF2B5EF4-FFF2-40B4-BE49-F238E27FC236}">
                <a16:creationId xmlns:a16="http://schemas.microsoft.com/office/drawing/2014/main" id="{B3798C30-CD63-1846-29F5-E292CCFD8B86}"/>
              </a:ext>
            </a:extLst>
          </xdr:cNvPr>
          <xdr:cNvGrpSpPr/>
        </xdr:nvGrpSpPr>
        <xdr:grpSpPr>
          <a:xfrm>
            <a:off x="9286875" y="3714751"/>
            <a:ext cx="3048000" cy="2222500"/>
            <a:chOff x="9286875" y="3714751"/>
            <a:chExt cx="3048000" cy="2222500"/>
          </a:xfrm>
        </xdr:grpSpPr>
        <xdr:graphicFrame macro="">
          <xdr:nvGraphicFramePr>
            <xdr:cNvPr id="93" name="Chart 92">
              <a:extLst>
                <a:ext uri="{FF2B5EF4-FFF2-40B4-BE49-F238E27FC236}">
                  <a16:creationId xmlns:a16="http://schemas.microsoft.com/office/drawing/2014/main" id="{2C242961-AA9C-44FE-AEF5-9140BED8B0F7}"/>
                </a:ext>
              </a:extLst>
            </xdr:cNvPr>
            <xdr:cNvGraphicFramePr>
              <a:graphicFrameLocks/>
            </xdr:cNvGraphicFramePr>
          </xdr:nvGraphicFramePr>
          <xdr:xfrm>
            <a:off x="9286875" y="3714751"/>
            <a:ext cx="3045290" cy="2222500"/>
          </xdr:xfrm>
          <a:graphic>
            <a:graphicData uri="http://schemas.openxmlformats.org/drawingml/2006/chart">
              <c:chart xmlns:c="http://schemas.openxmlformats.org/drawingml/2006/chart" xmlns:r="http://schemas.openxmlformats.org/officeDocument/2006/relationships" r:id="rId16"/>
            </a:graphicData>
          </a:graphic>
        </xdr:graphicFrame>
        <xdr:sp macro="" textlink="">
          <xdr:nvSpPr>
            <xdr:cNvPr id="53" name="TextBox 52">
              <a:extLst>
                <a:ext uri="{FF2B5EF4-FFF2-40B4-BE49-F238E27FC236}">
                  <a16:creationId xmlns:a16="http://schemas.microsoft.com/office/drawing/2014/main" id="{56CCF820-12BD-0892-CB77-E9B75E98E47B}"/>
                </a:ext>
              </a:extLst>
            </xdr:cNvPr>
            <xdr:cNvSpPr txBox="1"/>
          </xdr:nvSpPr>
          <xdr:spPr>
            <a:xfrm>
              <a:off x="9293233" y="3746500"/>
              <a:ext cx="3041642" cy="297773"/>
            </a:xfrm>
            <a:prstGeom prst="rect">
              <a:avLst/>
            </a:prstGeom>
            <a:solidFill>
              <a:srgbClr val="EBEBF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baseline="0">
                  <a:solidFill>
                    <a:schemeClr val="tx1"/>
                  </a:solidFill>
                </a:rPr>
                <a:t>What is the distribution of revenue by region?</a:t>
              </a:r>
              <a:endParaRPr lang="en-US" sz="1100" b="1">
                <a:solidFill>
                  <a:schemeClr val="tx1"/>
                </a:solidFill>
              </a:endParaRPr>
            </a:p>
          </xdr:txBody>
        </xdr:sp>
        <xdr:grpSp>
          <xdr:nvGrpSpPr>
            <xdr:cNvPr id="9" name="Group 8">
              <a:extLst>
                <a:ext uri="{FF2B5EF4-FFF2-40B4-BE49-F238E27FC236}">
                  <a16:creationId xmlns:a16="http://schemas.microsoft.com/office/drawing/2014/main" id="{B164F3C9-E94C-316E-2A11-697D488D7574}"/>
                </a:ext>
              </a:extLst>
            </xdr:cNvPr>
            <xdr:cNvGrpSpPr/>
          </xdr:nvGrpSpPr>
          <xdr:grpSpPr>
            <a:xfrm>
              <a:off x="9612313" y="4452938"/>
              <a:ext cx="1182687" cy="1150937"/>
              <a:chOff x="9628191" y="4452938"/>
              <a:chExt cx="1150655" cy="1135061"/>
            </a:xfrm>
          </xdr:grpSpPr>
          <xdr:sp macro="" textlink="">
            <xdr:nvSpPr>
              <xdr:cNvPr id="94" name="Flowchart: Connector 93">
                <a:extLst>
                  <a:ext uri="{FF2B5EF4-FFF2-40B4-BE49-F238E27FC236}">
                    <a16:creationId xmlns:a16="http://schemas.microsoft.com/office/drawing/2014/main" id="{4385D704-6403-A06E-98EC-FB802058AC2A}"/>
                  </a:ext>
                </a:extLst>
              </xdr:cNvPr>
              <xdr:cNvSpPr/>
            </xdr:nvSpPr>
            <xdr:spPr>
              <a:xfrm>
                <a:off x="9628191" y="4452938"/>
                <a:ext cx="1127124" cy="1135061"/>
              </a:xfrm>
              <a:prstGeom prst="flowChartConnector">
                <a:avLst/>
              </a:prstGeom>
              <a:solidFill>
                <a:schemeClr val="tx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Pivot!H35">
            <xdr:nvSpPr>
              <xdr:cNvPr id="95" name="TextBox 94">
                <a:extLst>
                  <a:ext uri="{FF2B5EF4-FFF2-40B4-BE49-F238E27FC236}">
                    <a16:creationId xmlns:a16="http://schemas.microsoft.com/office/drawing/2014/main" id="{92812903-A33A-8E07-99F6-0E21B3E0DB35}"/>
                  </a:ext>
                </a:extLst>
              </xdr:cNvPr>
              <xdr:cNvSpPr txBox="1"/>
            </xdr:nvSpPr>
            <xdr:spPr>
              <a:xfrm>
                <a:off x="9800789" y="4831908"/>
                <a:ext cx="914191" cy="353253"/>
              </a:xfrm>
              <a:prstGeom prst="rect">
                <a:avLst/>
              </a:prstGeom>
              <a:solidFill>
                <a:schemeClr val="tx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1D181FA-E2BC-41FD-8A89-9C71A85FA52D}" type="TxLink">
                  <a:rPr lang="en-US" sz="1800" b="1" i="0" u="none" strike="noStrike">
                    <a:solidFill>
                      <a:schemeClr val="bg1"/>
                    </a:solidFill>
                    <a:latin typeface="Aptos Narrow"/>
                    <a:cs typeface="Arial" panose="020B0604020202020204" pitchFamily="34" charset="0"/>
                  </a:rPr>
                  <a:pPr/>
                  <a:t>$3.6M</a:t>
                </a:fld>
                <a:endParaRPr lang="en-US" sz="2800" b="1">
                  <a:solidFill>
                    <a:schemeClr val="bg1"/>
                  </a:solidFill>
                  <a:latin typeface="Arial" panose="020B0604020202020204" pitchFamily="34" charset="0"/>
                  <a:cs typeface="Arial" panose="020B0604020202020204" pitchFamily="34" charset="0"/>
                </a:endParaRPr>
              </a:p>
            </xdr:txBody>
          </xdr:sp>
          <xdr:sp macro="" textlink="Pharmacy_Analysis_Clean!L504">
            <xdr:nvSpPr>
              <xdr:cNvPr id="6" name="TextBox 5">
                <a:extLst>
                  <a:ext uri="{FF2B5EF4-FFF2-40B4-BE49-F238E27FC236}">
                    <a16:creationId xmlns:a16="http://schemas.microsoft.com/office/drawing/2014/main" id="{8B3DFA25-FE02-6F84-F05C-5E796D5F2A14}"/>
                  </a:ext>
                </a:extLst>
              </xdr:cNvPr>
              <xdr:cNvSpPr txBox="1"/>
            </xdr:nvSpPr>
            <xdr:spPr>
              <a:xfrm>
                <a:off x="9747646" y="5084360"/>
                <a:ext cx="1031200" cy="279771"/>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800" b="1">
                    <a:solidFill>
                      <a:schemeClr val="bg1"/>
                    </a:solidFill>
                    <a:latin typeface="Arial" panose="020B0604020202020204" pitchFamily="34" charset="0"/>
                    <a:cs typeface="Arial" panose="020B0604020202020204" pitchFamily="34" charset="0"/>
                  </a:rPr>
                  <a:t>Total</a:t>
                </a:r>
                <a:r>
                  <a:rPr lang="en-US" sz="800" b="1" baseline="0">
                    <a:solidFill>
                      <a:schemeClr val="bg1"/>
                    </a:solidFill>
                    <a:latin typeface="Arial" panose="020B0604020202020204" pitchFamily="34" charset="0"/>
                    <a:cs typeface="Arial" panose="020B0604020202020204" pitchFamily="34" charset="0"/>
                  </a:rPr>
                  <a:t> Revenue</a:t>
                </a:r>
                <a:endParaRPr lang="en-US" sz="800" b="1">
                  <a:solidFill>
                    <a:schemeClr val="bg1"/>
                  </a:solidFill>
                  <a:latin typeface="Arial" panose="020B0604020202020204" pitchFamily="34" charset="0"/>
                  <a:cs typeface="Arial" panose="020B0604020202020204" pitchFamily="34" charset="0"/>
                </a:endParaRPr>
              </a:p>
            </xdr:txBody>
          </xdr:sp>
        </xdr:grpSp>
      </xdr:grpSp>
      <mc:AlternateContent xmlns:mc="http://schemas.openxmlformats.org/markup-compatibility/2006" xmlns:a14="http://schemas.microsoft.com/office/drawing/2010/main">
        <mc:Choice Requires="a14">
          <xdr:graphicFrame macro="">
            <xdr:nvGraphicFramePr>
              <xdr:cNvPr id="36" name="Sales Rep">
                <a:extLst>
                  <a:ext uri="{FF2B5EF4-FFF2-40B4-BE49-F238E27FC236}">
                    <a16:creationId xmlns:a16="http://schemas.microsoft.com/office/drawing/2014/main" id="{6029F94E-BB33-4B37-AD3F-D7ADDCB49071}"/>
                  </a:ext>
                </a:extLst>
              </xdr:cNvPr>
              <xdr:cNvGraphicFramePr/>
            </xdr:nvGraphicFramePr>
            <xdr:xfrm>
              <a:off x="814771" y="2975505"/>
              <a:ext cx="1352166" cy="1858432"/>
            </xdr:xfrm>
            <a:graphic>
              <a:graphicData uri="http://schemas.microsoft.com/office/drawing/2010/slicer">
                <sle:slicer xmlns:sle="http://schemas.microsoft.com/office/drawing/2010/slicer" name="Sales Rep"/>
              </a:graphicData>
            </a:graphic>
          </xdr:graphicFrame>
        </mc:Choice>
        <mc:Fallback xmlns="">
          <xdr:sp macro="" textlink="">
            <xdr:nvSpPr>
              <xdr:cNvPr id="0" name=""/>
              <xdr:cNvSpPr>
                <a:spLocks noTextEdit="1"/>
              </xdr:cNvSpPr>
            </xdr:nvSpPr>
            <xdr:spPr>
              <a:xfrm>
                <a:off x="134938" y="2832629"/>
                <a:ext cx="1352166" cy="185843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84666</xdr:colOff>
      <xdr:row>1</xdr:row>
      <xdr:rowOff>56445</xdr:rowOff>
    </xdr:from>
    <xdr:to>
      <xdr:col>13</xdr:col>
      <xdr:colOff>277814</xdr:colOff>
      <xdr:row>30</xdr:row>
      <xdr:rowOff>107245</xdr:rowOff>
    </xdr:to>
    <xdr:grpSp>
      <xdr:nvGrpSpPr>
        <xdr:cNvPr id="105" name="Group 104">
          <a:extLst>
            <a:ext uri="{FF2B5EF4-FFF2-40B4-BE49-F238E27FC236}">
              <a16:creationId xmlns:a16="http://schemas.microsoft.com/office/drawing/2014/main" id="{96FF3AA4-5932-D166-A881-008EDB25F771}"/>
            </a:ext>
          </a:extLst>
        </xdr:cNvPr>
        <xdr:cNvGrpSpPr/>
      </xdr:nvGrpSpPr>
      <xdr:grpSpPr>
        <a:xfrm>
          <a:off x="84666" y="239008"/>
          <a:ext cx="11607273" cy="5559425"/>
          <a:chOff x="84666" y="239008"/>
          <a:chExt cx="11607273" cy="5559425"/>
        </a:xfrm>
      </xdr:grpSpPr>
      <xdr:sp macro="" textlink="">
        <xdr:nvSpPr>
          <xdr:cNvPr id="71" name="Rectangle: Top Corners Rounded 70">
            <a:extLst>
              <a:ext uri="{FF2B5EF4-FFF2-40B4-BE49-F238E27FC236}">
                <a16:creationId xmlns:a16="http://schemas.microsoft.com/office/drawing/2014/main" id="{97B28DAB-2097-42BC-BDE1-EAF9251A1E6E}"/>
              </a:ext>
            </a:extLst>
          </xdr:cNvPr>
          <xdr:cNvSpPr/>
        </xdr:nvSpPr>
        <xdr:spPr>
          <a:xfrm rot="5400000">
            <a:off x="-2002896" y="2335037"/>
            <a:ext cx="5527675" cy="1352552"/>
          </a:xfrm>
          <a:prstGeom prst="round2SameRect">
            <a:avLst>
              <a:gd name="adj1" fmla="val 0"/>
              <a:gd name="adj2" fmla="val 39258"/>
            </a:avLst>
          </a:prstGeom>
          <a:solidFill>
            <a:srgbClr val="EBEBF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2" name="Rectangle: Top Corners Rounded 71">
            <a:extLst>
              <a:ext uri="{FF2B5EF4-FFF2-40B4-BE49-F238E27FC236}">
                <a16:creationId xmlns:a16="http://schemas.microsoft.com/office/drawing/2014/main" id="{949A9285-7333-4768-9D92-63D998D4A2F1}"/>
              </a:ext>
            </a:extLst>
          </xdr:cNvPr>
          <xdr:cNvSpPr/>
        </xdr:nvSpPr>
        <xdr:spPr>
          <a:xfrm>
            <a:off x="1465442" y="239008"/>
            <a:ext cx="10043583" cy="639409"/>
          </a:xfrm>
          <a:prstGeom prst="round2SameRect">
            <a:avLst>
              <a:gd name="adj1" fmla="val 0"/>
              <a:gd name="adj2" fmla="val 199"/>
            </a:avLst>
          </a:prstGeom>
          <a:solidFill>
            <a:srgbClr val="EBEBF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73" name="Group 72">
            <a:extLst>
              <a:ext uri="{FF2B5EF4-FFF2-40B4-BE49-F238E27FC236}">
                <a16:creationId xmlns:a16="http://schemas.microsoft.com/office/drawing/2014/main" id="{7C4E19A5-AF33-4017-917B-FFFB7709FA86}"/>
              </a:ext>
            </a:extLst>
          </xdr:cNvPr>
          <xdr:cNvGrpSpPr/>
        </xdr:nvGrpSpPr>
        <xdr:grpSpPr>
          <a:xfrm>
            <a:off x="1574803" y="977664"/>
            <a:ext cx="1582914" cy="729075"/>
            <a:chOff x="1668639" y="742184"/>
            <a:chExt cx="1581150" cy="731722"/>
          </a:xfrm>
        </xdr:grpSpPr>
        <xdr:sp macro="" textlink="">
          <xdr:nvSpPr>
            <xdr:cNvPr id="74" name="Rectangle: Top Corners Rounded 73">
              <a:extLst>
                <a:ext uri="{FF2B5EF4-FFF2-40B4-BE49-F238E27FC236}">
                  <a16:creationId xmlns:a16="http://schemas.microsoft.com/office/drawing/2014/main" id="{C2582673-8CFE-B945-773F-3864267B970F}"/>
                </a:ext>
              </a:extLst>
            </xdr:cNvPr>
            <xdr:cNvSpPr/>
          </xdr:nvSpPr>
          <xdr:spPr>
            <a:xfrm>
              <a:off x="1668639" y="797276"/>
              <a:ext cx="1581150" cy="676630"/>
            </a:xfrm>
            <a:prstGeom prst="round2SameRect">
              <a:avLst>
                <a:gd name="adj1" fmla="val 0"/>
                <a:gd name="adj2" fmla="val 0"/>
              </a:avLst>
            </a:prstGeom>
            <a:solidFill>
              <a:srgbClr val="082040">
                <a:alpha val="89804"/>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5" name="TextBox 74">
              <a:extLst>
                <a:ext uri="{FF2B5EF4-FFF2-40B4-BE49-F238E27FC236}">
                  <a16:creationId xmlns:a16="http://schemas.microsoft.com/office/drawing/2014/main" id="{61EA29CB-6899-071A-8CA1-24A01583C356}"/>
                </a:ext>
              </a:extLst>
            </xdr:cNvPr>
            <xdr:cNvSpPr txBox="1"/>
          </xdr:nvSpPr>
          <xdr:spPr>
            <a:xfrm>
              <a:off x="2120655" y="742184"/>
              <a:ext cx="779884" cy="3539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latin typeface="Arial" panose="020B0604020202020204" pitchFamily="34" charset="0"/>
                  <a:cs typeface="Arial" panose="020B0604020202020204" pitchFamily="34" charset="0"/>
                </a:rPr>
                <a:t>Revenue</a:t>
              </a:r>
            </a:p>
          </xdr:txBody>
        </xdr:sp>
        <xdr:sp macro="" textlink="Pivot!H35">
          <xdr:nvSpPr>
            <xdr:cNvPr id="76" name="TextBox 75">
              <a:extLst>
                <a:ext uri="{FF2B5EF4-FFF2-40B4-BE49-F238E27FC236}">
                  <a16:creationId xmlns:a16="http://schemas.microsoft.com/office/drawing/2014/main" id="{375420CB-585B-03A2-C276-98D2D17766F9}"/>
                </a:ext>
              </a:extLst>
            </xdr:cNvPr>
            <xdr:cNvSpPr txBox="1"/>
          </xdr:nvSpPr>
          <xdr:spPr>
            <a:xfrm>
              <a:off x="2101062" y="886177"/>
              <a:ext cx="777913" cy="297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8DF518A-FE1D-4DBA-8DE4-48EAA38BC20A}" type="TxLink">
                <a:rPr lang="en-US" sz="1800" b="1" i="0" u="none" strike="noStrike">
                  <a:solidFill>
                    <a:schemeClr val="bg1"/>
                  </a:solidFill>
                  <a:latin typeface="Aptos Narrow"/>
                </a:rPr>
                <a:pPr/>
                <a:t>$3.6M</a:t>
              </a:fld>
              <a:endParaRPr lang="en-US" sz="3200" b="1">
                <a:solidFill>
                  <a:schemeClr val="bg1"/>
                </a:solidFill>
              </a:endParaRPr>
            </a:p>
          </xdr:txBody>
        </xdr:sp>
        <xdr:sp macro="" textlink="Pivot!M38">
          <xdr:nvSpPr>
            <xdr:cNvPr id="77" name="TextBox 76">
              <a:extLst>
                <a:ext uri="{FF2B5EF4-FFF2-40B4-BE49-F238E27FC236}">
                  <a16:creationId xmlns:a16="http://schemas.microsoft.com/office/drawing/2014/main" id="{496D5F8C-8837-7DF0-FD51-82089C57D847}"/>
                </a:ext>
              </a:extLst>
            </xdr:cNvPr>
            <xdr:cNvSpPr txBox="1"/>
          </xdr:nvSpPr>
          <xdr:spPr>
            <a:xfrm>
              <a:off x="1948177" y="1180920"/>
              <a:ext cx="726491" cy="2776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DEFA977-F6D6-4E7E-9485-9EBC22F13E72}" type="TxLink">
                <a:rPr lang="en-US" sz="1100" b="0" i="0" u="none" strike="noStrike">
                  <a:solidFill>
                    <a:srgbClr val="FF0000"/>
                  </a:solidFill>
                  <a:latin typeface="Aptos Narrow"/>
                </a:rPr>
                <a:pPr/>
                <a:t>-56.6%↓</a:t>
              </a:fld>
              <a:endParaRPr lang="en-US" sz="1100">
                <a:solidFill>
                  <a:srgbClr val="FF0000"/>
                </a:solidFill>
              </a:endParaRPr>
            </a:p>
          </xdr:txBody>
        </xdr:sp>
        <xdr:sp macro="" textlink="Pharmacy_Analysis_Clean!#REF!">
          <xdr:nvSpPr>
            <xdr:cNvPr id="78" name="TextBox 77">
              <a:extLst>
                <a:ext uri="{FF2B5EF4-FFF2-40B4-BE49-F238E27FC236}">
                  <a16:creationId xmlns:a16="http://schemas.microsoft.com/office/drawing/2014/main" id="{063CFDCA-7A36-A366-E197-F1C5BB2E008E}"/>
                </a:ext>
              </a:extLst>
            </xdr:cNvPr>
            <xdr:cNvSpPr txBox="1"/>
          </xdr:nvSpPr>
          <xdr:spPr>
            <a:xfrm>
              <a:off x="2489015" y="1180312"/>
              <a:ext cx="533617" cy="2776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bg1"/>
                  </a:solidFill>
                </a:rPr>
                <a:t>vs</a:t>
              </a:r>
              <a:r>
                <a:rPr lang="en-US" sz="1100" b="1" baseline="0">
                  <a:solidFill>
                    <a:schemeClr val="bg1"/>
                  </a:solidFill>
                </a:rPr>
                <a:t> PY</a:t>
              </a:r>
              <a:endParaRPr lang="en-US" sz="1100" b="1">
                <a:solidFill>
                  <a:schemeClr val="bg1"/>
                </a:solidFill>
              </a:endParaRPr>
            </a:p>
          </xdr:txBody>
        </xdr:sp>
      </xdr:grpSp>
      <xdr:sp macro="" textlink="">
        <xdr:nvSpPr>
          <xdr:cNvPr id="79" name="TextBox 78">
            <a:extLst>
              <a:ext uri="{FF2B5EF4-FFF2-40B4-BE49-F238E27FC236}">
                <a16:creationId xmlns:a16="http://schemas.microsoft.com/office/drawing/2014/main" id="{84FE781D-87CC-48F2-9919-ED8C5688E405}"/>
              </a:ext>
            </a:extLst>
          </xdr:cNvPr>
          <xdr:cNvSpPr txBox="1"/>
        </xdr:nvSpPr>
        <xdr:spPr>
          <a:xfrm>
            <a:off x="3552584" y="1066564"/>
            <a:ext cx="689328" cy="3515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solidFill>
                <a:schemeClr val="tx1"/>
              </a:solidFill>
            </a:endParaRPr>
          </a:p>
        </xdr:txBody>
      </xdr:sp>
      <xdr:grpSp>
        <xdr:nvGrpSpPr>
          <xdr:cNvPr id="80" name="Group 79">
            <a:extLst>
              <a:ext uri="{FF2B5EF4-FFF2-40B4-BE49-F238E27FC236}">
                <a16:creationId xmlns:a16="http://schemas.microsoft.com/office/drawing/2014/main" id="{684CFB1F-293C-4723-B90F-C90C9FA57B05}"/>
              </a:ext>
            </a:extLst>
          </xdr:cNvPr>
          <xdr:cNvGrpSpPr/>
        </xdr:nvGrpSpPr>
        <xdr:grpSpPr>
          <a:xfrm>
            <a:off x="3347511" y="977664"/>
            <a:ext cx="1550812" cy="724781"/>
            <a:chOff x="3340806" y="746478"/>
            <a:chExt cx="1554339" cy="727428"/>
          </a:xfrm>
        </xdr:grpSpPr>
        <xdr:sp macro="" textlink="">
          <xdr:nvSpPr>
            <xdr:cNvPr id="81" name="Rectangle: Top Corners Rounded 80">
              <a:extLst>
                <a:ext uri="{FF2B5EF4-FFF2-40B4-BE49-F238E27FC236}">
                  <a16:creationId xmlns:a16="http://schemas.microsoft.com/office/drawing/2014/main" id="{BC102A97-1460-9062-8B41-9FF8FD732D83}"/>
                </a:ext>
              </a:extLst>
            </xdr:cNvPr>
            <xdr:cNvSpPr/>
          </xdr:nvSpPr>
          <xdr:spPr>
            <a:xfrm>
              <a:off x="3340806" y="802212"/>
              <a:ext cx="1554339" cy="671694"/>
            </a:xfrm>
            <a:prstGeom prst="round2SameRect">
              <a:avLst>
                <a:gd name="adj1" fmla="val 0"/>
                <a:gd name="adj2" fmla="val 0"/>
              </a:avLst>
            </a:prstGeom>
            <a:solidFill>
              <a:srgbClr val="EBEBF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82" name="TextBox 81">
              <a:extLst>
                <a:ext uri="{FF2B5EF4-FFF2-40B4-BE49-F238E27FC236}">
                  <a16:creationId xmlns:a16="http://schemas.microsoft.com/office/drawing/2014/main" id="{7A16A987-315A-CD3A-7BD5-6994A01815E2}"/>
                </a:ext>
              </a:extLst>
            </xdr:cNvPr>
            <xdr:cNvSpPr txBox="1"/>
          </xdr:nvSpPr>
          <xdr:spPr>
            <a:xfrm>
              <a:off x="3789794" y="746478"/>
              <a:ext cx="768767" cy="3574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tx1"/>
                  </a:solidFill>
                  <a:latin typeface="Arial" panose="020B0604020202020204" pitchFamily="34" charset="0"/>
                  <a:cs typeface="Arial" panose="020B0604020202020204" pitchFamily="34" charset="0"/>
                </a:rPr>
                <a:t>Profit</a:t>
              </a:r>
            </a:p>
          </xdr:txBody>
        </xdr:sp>
        <xdr:sp macro="" textlink="Pivot!K49">
          <xdr:nvSpPr>
            <xdr:cNvPr id="83" name="TextBox 82">
              <a:extLst>
                <a:ext uri="{FF2B5EF4-FFF2-40B4-BE49-F238E27FC236}">
                  <a16:creationId xmlns:a16="http://schemas.microsoft.com/office/drawing/2014/main" id="{498B0417-6049-058C-0ABC-F0E4975F25A8}"/>
                </a:ext>
              </a:extLst>
            </xdr:cNvPr>
            <xdr:cNvSpPr txBox="1"/>
          </xdr:nvSpPr>
          <xdr:spPr>
            <a:xfrm>
              <a:off x="3770514" y="892148"/>
              <a:ext cx="982814" cy="3005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53C9F5C-43BD-4D87-90B2-7E582E4C78B3}" type="TxLink">
                <a:rPr lang="en-US" sz="1800" b="1" i="0" u="none" strike="noStrike">
                  <a:solidFill>
                    <a:srgbClr val="000000"/>
                  </a:solidFill>
                  <a:latin typeface="Aptos Narrow"/>
                </a:rPr>
                <a:pPr/>
                <a:t>$272.9K</a:t>
              </a:fld>
              <a:endParaRPr lang="en-US" sz="4800" b="1">
                <a:solidFill>
                  <a:schemeClr val="tx1"/>
                </a:solidFill>
              </a:endParaRPr>
            </a:p>
          </xdr:txBody>
        </xdr:sp>
        <xdr:sp macro="" textlink="Pivot!M56">
          <xdr:nvSpPr>
            <xdr:cNvPr id="84" name="TextBox 83">
              <a:extLst>
                <a:ext uri="{FF2B5EF4-FFF2-40B4-BE49-F238E27FC236}">
                  <a16:creationId xmlns:a16="http://schemas.microsoft.com/office/drawing/2014/main" id="{27451910-3A18-27BF-B24A-4D5DDC171749}"/>
                </a:ext>
              </a:extLst>
            </xdr:cNvPr>
            <xdr:cNvSpPr txBox="1"/>
          </xdr:nvSpPr>
          <xdr:spPr>
            <a:xfrm>
              <a:off x="3620086" y="1190340"/>
              <a:ext cx="716231" cy="280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C8B6AB1-A439-4F85-97C2-4C4482DCC1C9}" type="TxLink">
                <a:rPr lang="en-US" sz="1100" b="0" i="0" u="none" strike="noStrike">
                  <a:solidFill>
                    <a:srgbClr val="FF0000"/>
                  </a:solidFill>
                  <a:latin typeface="Aptos Narrow"/>
                </a:rPr>
                <a:pPr/>
                <a:t>-57.3%↓</a:t>
              </a:fld>
              <a:endParaRPr lang="en-US" sz="1100">
                <a:solidFill>
                  <a:srgbClr val="FF0000"/>
                </a:solidFill>
              </a:endParaRPr>
            </a:p>
          </xdr:txBody>
        </xdr:sp>
        <xdr:sp macro="" textlink="Pharmacy_Analysis_Clean!#REF!">
          <xdr:nvSpPr>
            <xdr:cNvPr id="85" name="TextBox 84">
              <a:extLst>
                <a:ext uri="{FF2B5EF4-FFF2-40B4-BE49-F238E27FC236}">
                  <a16:creationId xmlns:a16="http://schemas.microsoft.com/office/drawing/2014/main" id="{F3DE16A6-E80E-A7E4-9E43-A3A2C07E0DCA}"/>
                </a:ext>
              </a:extLst>
            </xdr:cNvPr>
            <xdr:cNvSpPr txBox="1"/>
          </xdr:nvSpPr>
          <xdr:spPr>
            <a:xfrm>
              <a:off x="4153647" y="1189725"/>
              <a:ext cx="522223" cy="280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tx1"/>
                  </a:solidFill>
                </a:rPr>
                <a:t>vs</a:t>
              </a:r>
              <a:r>
                <a:rPr lang="en-US" sz="1100" b="1" baseline="0">
                  <a:solidFill>
                    <a:schemeClr val="tx1"/>
                  </a:solidFill>
                </a:rPr>
                <a:t> PY</a:t>
              </a:r>
              <a:endParaRPr lang="en-US" sz="1100" b="1">
                <a:solidFill>
                  <a:schemeClr val="tx1"/>
                </a:solidFill>
              </a:endParaRPr>
            </a:p>
          </xdr:txBody>
        </xdr:sp>
      </xdr:grpSp>
      <xdr:grpSp>
        <xdr:nvGrpSpPr>
          <xdr:cNvPr id="86" name="Group 85">
            <a:extLst>
              <a:ext uri="{FF2B5EF4-FFF2-40B4-BE49-F238E27FC236}">
                <a16:creationId xmlns:a16="http://schemas.microsoft.com/office/drawing/2014/main" id="{209254FC-90CB-4EF1-9D4A-D56AC9599413}"/>
              </a:ext>
            </a:extLst>
          </xdr:cNvPr>
          <xdr:cNvGrpSpPr/>
        </xdr:nvGrpSpPr>
        <xdr:grpSpPr>
          <a:xfrm>
            <a:off x="5088117" y="977664"/>
            <a:ext cx="1524705" cy="723369"/>
            <a:chOff x="4922662" y="754239"/>
            <a:chExt cx="1528233" cy="726016"/>
          </a:xfrm>
        </xdr:grpSpPr>
        <xdr:sp macro="" textlink="">
          <xdr:nvSpPr>
            <xdr:cNvPr id="87" name="Rectangle: Top Corners Rounded 86">
              <a:extLst>
                <a:ext uri="{FF2B5EF4-FFF2-40B4-BE49-F238E27FC236}">
                  <a16:creationId xmlns:a16="http://schemas.microsoft.com/office/drawing/2014/main" id="{8357E54A-D22B-0F03-AB8D-FF2A409CA389}"/>
                </a:ext>
              </a:extLst>
            </xdr:cNvPr>
            <xdr:cNvSpPr/>
          </xdr:nvSpPr>
          <xdr:spPr>
            <a:xfrm>
              <a:off x="4922662" y="796831"/>
              <a:ext cx="1528233" cy="683424"/>
            </a:xfrm>
            <a:prstGeom prst="round2SameRect">
              <a:avLst>
                <a:gd name="adj1" fmla="val 0"/>
                <a:gd name="adj2" fmla="val 0"/>
              </a:avLst>
            </a:prstGeom>
            <a:solidFill>
              <a:srgbClr val="EBEBF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88" name="TextBox 87">
              <a:extLst>
                <a:ext uri="{FF2B5EF4-FFF2-40B4-BE49-F238E27FC236}">
                  <a16:creationId xmlns:a16="http://schemas.microsoft.com/office/drawing/2014/main" id="{E67D81EC-BF52-3EA4-05C8-2BFC4AE20DAE}"/>
                </a:ext>
              </a:extLst>
            </xdr:cNvPr>
            <xdr:cNvSpPr txBox="1"/>
          </xdr:nvSpPr>
          <xdr:spPr>
            <a:xfrm>
              <a:off x="5299176" y="754239"/>
              <a:ext cx="825046" cy="2335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tx1"/>
                  </a:solidFill>
                  <a:latin typeface="Arial" panose="020B0604020202020204" pitchFamily="34" charset="0"/>
                  <a:cs typeface="Arial" panose="020B0604020202020204" pitchFamily="34" charset="0"/>
                </a:rPr>
                <a:t>Qty.</a:t>
              </a:r>
              <a:r>
                <a:rPr lang="en-US" sz="1100" baseline="0">
                  <a:solidFill>
                    <a:schemeClr val="tx1"/>
                  </a:solidFill>
                  <a:latin typeface="Arial" panose="020B0604020202020204" pitchFamily="34" charset="0"/>
                  <a:cs typeface="Arial" panose="020B0604020202020204" pitchFamily="34" charset="0"/>
                </a:rPr>
                <a:t> Sold</a:t>
              </a:r>
              <a:endParaRPr lang="en-US" sz="1100">
                <a:solidFill>
                  <a:schemeClr val="tx1"/>
                </a:solidFill>
                <a:latin typeface="Arial" panose="020B0604020202020204" pitchFamily="34" charset="0"/>
                <a:cs typeface="Arial" panose="020B0604020202020204" pitchFamily="34" charset="0"/>
              </a:endParaRPr>
            </a:p>
          </xdr:txBody>
        </xdr:sp>
        <xdr:sp macro="" textlink="Pivot!K40">
          <xdr:nvSpPr>
            <xdr:cNvPr id="89" name="TextBox 88">
              <a:extLst>
                <a:ext uri="{FF2B5EF4-FFF2-40B4-BE49-F238E27FC236}">
                  <a16:creationId xmlns:a16="http://schemas.microsoft.com/office/drawing/2014/main" id="{3BAA086D-55A1-5AE2-A040-C4CC95D15D18}"/>
                </a:ext>
              </a:extLst>
            </xdr:cNvPr>
            <xdr:cNvSpPr txBox="1"/>
          </xdr:nvSpPr>
          <xdr:spPr>
            <a:xfrm>
              <a:off x="5266022" y="888331"/>
              <a:ext cx="834210" cy="3057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819E70F-96C1-4429-A498-B4752F8DD8AD}" type="TxLink">
                <a:rPr lang="en-US" sz="1800" b="1" i="0" u="none" strike="noStrike">
                  <a:solidFill>
                    <a:srgbClr val="000000"/>
                  </a:solidFill>
                  <a:latin typeface="Aptos Narrow"/>
                </a:rPr>
                <a:pPr/>
                <a:t>55,987</a:t>
              </a:fld>
              <a:endParaRPr lang="en-US" sz="4800" b="1">
                <a:solidFill>
                  <a:schemeClr val="tx1"/>
                </a:solidFill>
              </a:endParaRPr>
            </a:p>
          </xdr:txBody>
        </xdr:sp>
        <xdr:sp macro="" textlink="Pivot!M47">
          <xdr:nvSpPr>
            <xdr:cNvPr id="90" name="TextBox 89">
              <a:extLst>
                <a:ext uri="{FF2B5EF4-FFF2-40B4-BE49-F238E27FC236}">
                  <a16:creationId xmlns:a16="http://schemas.microsoft.com/office/drawing/2014/main" id="{EA39B913-217F-10FE-57D7-8DEB01D9A1B0}"/>
                </a:ext>
              </a:extLst>
            </xdr:cNvPr>
            <xdr:cNvSpPr txBox="1"/>
          </xdr:nvSpPr>
          <xdr:spPr>
            <a:xfrm>
              <a:off x="5244436" y="1191733"/>
              <a:ext cx="703245" cy="2850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B74CCF1-A7F6-4A4A-AEE9-B68AD0DA8C99}" type="TxLink">
                <a:rPr lang="en-US" sz="1100" b="0" i="0" u="none" strike="noStrike">
                  <a:solidFill>
                    <a:srgbClr val="FF0000"/>
                  </a:solidFill>
                  <a:latin typeface="Aptos Narrow"/>
                </a:rPr>
                <a:pPr/>
                <a:t>-58.2%↓</a:t>
              </a:fld>
              <a:endParaRPr lang="en-US" sz="1100">
                <a:solidFill>
                  <a:srgbClr val="FF0000"/>
                </a:solidFill>
              </a:endParaRPr>
            </a:p>
          </xdr:txBody>
        </xdr:sp>
        <xdr:sp macro="" textlink="Pharmacy_Analysis_Clean!#REF!">
          <xdr:nvSpPr>
            <xdr:cNvPr id="91" name="TextBox 90">
              <a:extLst>
                <a:ext uri="{FF2B5EF4-FFF2-40B4-BE49-F238E27FC236}">
                  <a16:creationId xmlns:a16="http://schemas.microsoft.com/office/drawing/2014/main" id="{6A46A148-34F4-363B-C85C-0A38C8614896}"/>
                </a:ext>
              </a:extLst>
            </xdr:cNvPr>
            <xdr:cNvSpPr txBox="1"/>
          </xdr:nvSpPr>
          <xdr:spPr>
            <a:xfrm>
              <a:off x="5770069" y="1191108"/>
              <a:ext cx="515793" cy="2850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tx1"/>
                  </a:solidFill>
                </a:rPr>
                <a:t>vs</a:t>
              </a:r>
              <a:r>
                <a:rPr lang="en-US" sz="1100" b="1" baseline="0">
                  <a:solidFill>
                    <a:schemeClr val="tx1"/>
                  </a:solidFill>
                </a:rPr>
                <a:t> PY</a:t>
              </a:r>
              <a:endParaRPr lang="en-US" sz="1100" b="1">
                <a:solidFill>
                  <a:schemeClr val="tx1"/>
                </a:solidFill>
              </a:endParaRPr>
            </a:p>
          </xdr:txBody>
        </xdr:sp>
      </xdr:grpSp>
      <xdr:grpSp>
        <xdr:nvGrpSpPr>
          <xdr:cNvPr id="92" name="Group 91">
            <a:extLst>
              <a:ext uri="{FF2B5EF4-FFF2-40B4-BE49-F238E27FC236}">
                <a16:creationId xmlns:a16="http://schemas.microsoft.com/office/drawing/2014/main" id="{FC6052E8-10B9-4C9A-A73E-39D772A88C1C}"/>
              </a:ext>
            </a:extLst>
          </xdr:cNvPr>
          <xdr:cNvGrpSpPr/>
        </xdr:nvGrpSpPr>
        <xdr:grpSpPr>
          <a:xfrm>
            <a:off x="6802617" y="977664"/>
            <a:ext cx="1552928" cy="722725"/>
            <a:chOff x="6605411" y="748534"/>
            <a:chExt cx="1575506" cy="725372"/>
          </a:xfrm>
        </xdr:grpSpPr>
        <xdr:sp macro="" textlink="">
          <xdr:nvSpPr>
            <xdr:cNvPr id="93" name="Rectangle: Top Corners Rounded 92">
              <a:extLst>
                <a:ext uri="{FF2B5EF4-FFF2-40B4-BE49-F238E27FC236}">
                  <a16:creationId xmlns:a16="http://schemas.microsoft.com/office/drawing/2014/main" id="{FAE2FF76-8640-9D41-29EB-836F2F1144DD}"/>
                </a:ext>
              </a:extLst>
            </xdr:cNvPr>
            <xdr:cNvSpPr/>
          </xdr:nvSpPr>
          <xdr:spPr>
            <a:xfrm>
              <a:off x="6605411" y="803626"/>
              <a:ext cx="1575506" cy="670280"/>
            </a:xfrm>
            <a:prstGeom prst="round2SameRect">
              <a:avLst>
                <a:gd name="adj1" fmla="val 0"/>
                <a:gd name="adj2" fmla="val 0"/>
              </a:avLst>
            </a:prstGeom>
            <a:solidFill>
              <a:srgbClr val="EBEBF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94" name="TextBox 93">
              <a:extLst>
                <a:ext uri="{FF2B5EF4-FFF2-40B4-BE49-F238E27FC236}">
                  <a16:creationId xmlns:a16="http://schemas.microsoft.com/office/drawing/2014/main" id="{4A57FBBF-0ADD-FE57-8364-526E7F2238FC}"/>
                </a:ext>
              </a:extLst>
            </xdr:cNvPr>
            <xdr:cNvSpPr txBox="1"/>
          </xdr:nvSpPr>
          <xdr:spPr>
            <a:xfrm>
              <a:off x="7054605" y="748534"/>
              <a:ext cx="878662" cy="3532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tx1"/>
                  </a:solidFill>
                  <a:latin typeface="Arial" panose="020B0604020202020204" pitchFamily="34" charset="0"/>
                  <a:cs typeface="Arial" panose="020B0604020202020204" pitchFamily="34" charset="0"/>
                </a:rPr>
                <a:t>Avg.</a:t>
              </a:r>
              <a:r>
                <a:rPr lang="en-US" sz="1100" baseline="0">
                  <a:solidFill>
                    <a:schemeClr val="tx1"/>
                  </a:solidFill>
                  <a:latin typeface="Arial" panose="020B0604020202020204" pitchFamily="34" charset="0"/>
                  <a:cs typeface="Arial" panose="020B0604020202020204" pitchFamily="34" charset="0"/>
                </a:rPr>
                <a:t> Price</a:t>
              </a:r>
              <a:endParaRPr lang="en-US" sz="1100">
                <a:solidFill>
                  <a:schemeClr val="tx1"/>
                </a:solidFill>
                <a:latin typeface="Arial" panose="020B0604020202020204" pitchFamily="34" charset="0"/>
                <a:cs typeface="Arial" panose="020B0604020202020204" pitchFamily="34" charset="0"/>
              </a:endParaRPr>
            </a:p>
          </xdr:txBody>
        </xdr:sp>
        <xdr:sp macro="" textlink="Pharmacy_Analysis_Clean!K504">
          <xdr:nvSpPr>
            <xdr:cNvPr id="95" name="TextBox 94">
              <a:extLst>
                <a:ext uri="{FF2B5EF4-FFF2-40B4-BE49-F238E27FC236}">
                  <a16:creationId xmlns:a16="http://schemas.microsoft.com/office/drawing/2014/main" id="{A3978377-22B5-A014-6626-D5286611D226}"/>
                </a:ext>
              </a:extLst>
            </xdr:cNvPr>
            <xdr:cNvSpPr txBox="1"/>
          </xdr:nvSpPr>
          <xdr:spPr>
            <a:xfrm>
              <a:off x="7035012" y="892527"/>
              <a:ext cx="858423" cy="297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EFB2582-30C0-4A2E-8FC8-0AF356265C87}" type="TxLink">
                <a:rPr lang="en-US" sz="1800" b="1" i="0" u="none" strike="noStrike">
                  <a:solidFill>
                    <a:srgbClr val="000000"/>
                  </a:solidFill>
                  <a:latin typeface="Aptos Narrow"/>
                </a:rPr>
                <a:pPr/>
                <a:t>$65</a:t>
              </a:fld>
              <a:endParaRPr lang="en-US" sz="3200" b="1">
                <a:solidFill>
                  <a:schemeClr val="tx1"/>
                </a:solidFill>
              </a:endParaRPr>
            </a:p>
          </xdr:txBody>
        </xdr:sp>
      </xdr:grpSp>
      <xdr:cxnSp macro="">
        <xdr:nvCxnSpPr>
          <xdr:cNvPr id="96" name="Straight Connector 95">
            <a:extLst>
              <a:ext uri="{FF2B5EF4-FFF2-40B4-BE49-F238E27FC236}">
                <a16:creationId xmlns:a16="http://schemas.microsoft.com/office/drawing/2014/main" id="{95942461-D3B2-4BAC-B664-1671DD9738E3}"/>
              </a:ext>
            </a:extLst>
          </xdr:cNvPr>
          <xdr:cNvCxnSpPr/>
        </xdr:nvCxnSpPr>
        <xdr:spPr>
          <a:xfrm>
            <a:off x="1548698" y="1026408"/>
            <a:ext cx="19050" cy="4772025"/>
          </a:xfrm>
          <a:prstGeom prst="line">
            <a:avLst/>
          </a:prstGeom>
          <a:ln>
            <a:solidFill>
              <a:srgbClr val="082040">
                <a:alpha val="80000"/>
              </a:srgbClr>
            </a:solidFill>
          </a:ln>
        </xdr:spPr>
        <xdr:style>
          <a:lnRef idx="2">
            <a:schemeClr val="accent1"/>
          </a:lnRef>
          <a:fillRef idx="0">
            <a:schemeClr val="accent1"/>
          </a:fillRef>
          <a:effectRef idx="1">
            <a:schemeClr val="accent1"/>
          </a:effectRef>
          <a:fontRef idx="minor">
            <a:schemeClr val="tx1"/>
          </a:fontRef>
        </xdr:style>
      </xdr:cxnSp>
      <xdr:cxnSp macro="">
        <xdr:nvCxnSpPr>
          <xdr:cNvPr id="97" name="Straight Connector 96">
            <a:extLst>
              <a:ext uri="{FF2B5EF4-FFF2-40B4-BE49-F238E27FC236}">
                <a16:creationId xmlns:a16="http://schemas.microsoft.com/office/drawing/2014/main" id="{81DA7F80-1D11-4BD1-8323-CDC072DB84FC}"/>
              </a:ext>
            </a:extLst>
          </xdr:cNvPr>
          <xdr:cNvCxnSpPr/>
        </xdr:nvCxnSpPr>
        <xdr:spPr>
          <a:xfrm>
            <a:off x="1542348" y="1013708"/>
            <a:ext cx="9999133" cy="12700"/>
          </a:xfrm>
          <a:prstGeom prst="line">
            <a:avLst/>
          </a:prstGeom>
          <a:ln>
            <a:solidFill>
              <a:srgbClr val="082040">
                <a:alpha val="80000"/>
              </a:srgbClr>
            </a:solidFill>
          </a:ln>
        </xdr:spPr>
        <xdr:style>
          <a:lnRef idx="2">
            <a:schemeClr val="accent1"/>
          </a:lnRef>
          <a:fillRef idx="0">
            <a:schemeClr val="accent1"/>
          </a:fillRef>
          <a:effectRef idx="1">
            <a:schemeClr val="accent1"/>
          </a:effectRef>
          <a:fontRef idx="minor">
            <a:schemeClr val="tx1"/>
          </a:fontRef>
        </xdr:style>
      </xdr:cxnSp>
      <xdr:sp macro="" textlink="">
        <xdr:nvSpPr>
          <xdr:cNvPr id="98" name="TextBox 97">
            <a:extLst>
              <a:ext uri="{FF2B5EF4-FFF2-40B4-BE49-F238E27FC236}">
                <a16:creationId xmlns:a16="http://schemas.microsoft.com/office/drawing/2014/main" id="{3BBBC535-E9D0-488E-8FF5-183C316EDD3F}"/>
              </a:ext>
            </a:extLst>
          </xdr:cNvPr>
          <xdr:cNvSpPr txBox="1"/>
        </xdr:nvSpPr>
        <xdr:spPr>
          <a:xfrm>
            <a:off x="1599604" y="297918"/>
            <a:ext cx="3954937" cy="418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rgbClr val="082040"/>
                </a:solidFill>
              </a:rPr>
              <a:t>PHARMACY SALES DASHBOARD</a:t>
            </a:r>
          </a:p>
        </xdr:txBody>
      </xdr:sp>
      <xdr:sp macro="" textlink="">
        <xdr:nvSpPr>
          <xdr:cNvPr id="99" name="Rectangle: Top Corners Rounded 98">
            <a:extLst>
              <a:ext uri="{FF2B5EF4-FFF2-40B4-BE49-F238E27FC236}">
                <a16:creationId xmlns:a16="http://schemas.microsoft.com/office/drawing/2014/main" id="{11C71A71-0CA8-4F32-BFFF-659867E6D1FE}"/>
              </a:ext>
            </a:extLst>
          </xdr:cNvPr>
          <xdr:cNvSpPr/>
        </xdr:nvSpPr>
        <xdr:spPr>
          <a:xfrm>
            <a:off x="8429102" y="1025702"/>
            <a:ext cx="3094034" cy="4750153"/>
          </a:xfrm>
          <a:prstGeom prst="round2SameRect">
            <a:avLst>
              <a:gd name="adj1" fmla="val 0"/>
              <a:gd name="adj2" fmla="val 0"/>
            </a:avLst>
          </a:prstGeom>
          <a:solidFill>
            <a:srgbClr val="EBEBF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00" name="TextBox 99">
            <a:extLst>
              <a:ext uri="{FF2B5EF4-FFF2-40B4-BE49-F238E27FC236}">
                <a16:creationId xmlns:a16="http://schemas.microsoft.com/office/drawing/2014/main" id="{11C7BB66-97E5-4EFE-8F53-31BFA32E6821}"/>
              </a:ext>
            </a:extLst>
          </xdr:cNvPr>
          <xdr:cNvSpPr txBox="1"/>
        </xdr:nvSpPr>
        <xdr:spPr>
          <a:xfrm>
            <a:off x="1617489" y="618244"/>
            <a:ext cx="3873501" cy="231950"/>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i="1">
                <a:solidFill>
                  <a:schemeClr val="tx2"/>
                </a:solidFill>
              </a:rPr>
              <a:t>Analysing Sales</a:t>
            </a:r>
            <a:r>
              <a:rPr lang="en-US" sz="1100" b="1" i="1" baseline="0">
                <a:solidFill>
                  <a:schemeClr val="tx2"/>
                </a:solidFill>
              </a:rPr>
              <a:t> Performance and Regional Health Trend</a:t>
            </a:r>
            <a:endParaRPr lang="en-US" sz="1100" b="1" i="1">
              <a:solidFill>
                <a:schemeClr val="tx2"/>
              </a:solidFill>
            </a:endParaRPr>
          </a:p>
        </xdr:txBody>
      </xdr:sp>
      <xdr:sp macro="" textlink="">
        <xdr:nvSpPr>
          <xdr:cNvPr id="101" name="TextBox 100">
            <a:extLst>
              <a:ext uri="{FF2B5EF4-FFF2-40B4-BE49-F238E27FC236}">
                <a16:creationId xmlns:a16="http://schemas.microsoft.com/office/drawing/2014/main" id="{6D2D378F-0C65-95B2-4297-32664D919532}"/>
              </a:ext>
            </a:extLst>
          </xdr:cNvPr>
          <xdr:cNvSpPr txBox="1"/>
        </xdr:nvSpPr>
        <xdr:spPr>
          <a:xfrm>
            <a:off x="1575152" y="1756833"/>
            <a:ext cx="6780742" cy="248708"/>
          </a:xfrm>
          <a:prstGeom prst="rect">
            <a:avLst/>
          </a:prstGeom>
          <a:solidFill>
            <a:srgbClr val="EBEBF2"/>
          </a:solidFill>
          <a:ln w="9525" cmpd="sng">
            <a:solidFill>
              <a:srgbClr val="314259"/>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Seasonal Drug Demand Pattern:</a:t>
            </a:r>
            <a:r>
              <a:rPr lang="en-US" sz="1200" b="1" baseline="0"/>
              <a:t> Table summary of drug class and quantity sold</a:t>
            </a:r>
            <a:endParaRPr lang="en-US" sz="1200" b="1"/>
          </a:p>
        </xdr:txBody>
      </xdr:sp>
      <xdr:sp macro="" textlink="">
        <xdr:nvSpPr>
          <xdr:cNvPr id="102" name="TextBox 101">
            <a:extLst>
              <a:ext uri="{FF2B5EF4-FFF2-40B4-BE49-F238E27FC236}">
                <a16:creationId xmlns:a16="http://schemas.microsoft.com/office/drawing/2014/main" id="{8C364E3C-3498-E6B6-07C0-1200341BAEEB}"/>
              </a:ext>
            </a:extLst>
          </xdr:cNvPr>
          <xdr:cNvSpPr txBox="1"/>
        </xdr:nvSpPr>
        <xdr:spPr>
          <a:xfrm>
            <a:off x="1572330" y="4452761"/>
            <a:ext cx="6780742" cy="298275"/>
          </a:xfrm>
          <a:prstGeom prst="rect">
            <a:avLst/>
          </a:prstGeom>
          <a:solidFill>
            <a:srgbClr val="EBEBF2"/>
          </a:solidFill>
          <a:ln w="9525" cmpd="sng">
            <a:solidFill>
              <a:srgbClr val="314259"/>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Regional Health</a:t>
            </a:r>
            <a:r>
              <a:rPr lang="en-US" sz="1200" b="1" baseline="0"/>
              <a:t> Trend: Table summary of drug class and quantity sold across regions</a:t>
            </a:r>
            <a:endParaRPr lang="en-US" sz="1200" b="1"/>
          </a:p>
        </xdr:txBody>
      </xdr:sp>
      <xdr:sp macro="" textlink="">
        <xdr:nvSpPr>
          <xdr:cNvPr id="103" name="Rectangle 102">
            <a:extLst>
              <a:ext uri="{FF2B5EF4-FFF2-40B4-BE49-F238E27FC236}">
                <a16:creationId xmlns:a16="http://schemas.microsoft.com/office/drawing/2014/main" id="{31D74BDF-0879-0165-149C-A981A983AF12}"/>
              </a:ext>
            </a:extLst>
          </xdr:cNvPr>
          <xdr:cNvSpPr/>
        </xdr:nvSpPr>
        <xdr:spPr>
          <a:xfrm>
            <a:off x="1441097" y="5691188"/>
            <a:ext cx="6980591" cy="84667"/>
          </a:xfrm>
          <a:prstGeom prst="rect">
            <a:avLst/>
          </a:prstGeom>
          <a:solidFill>
            <a:srgbClr val="EBEBF2"/>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04" name="Rectangle: Top Corners Rounded 103">
            <a:extLst>
              <a:ext uri="{FF2B5EF4-FFF2-40B4-BE49-F238E27FC236}">
                <a16:creationId xmlns:a16="http://schemas.microsoft.com/office/drawing/2014/main" id="{11B36818-7C58-9DCF-A888-A13968A2C3F3}"/>
              </a:ext>
            </a:extLst>
          </xdr:cNvPr>
          <xdr:cNvSpPr/>
        </xdr:nvSpPr>
        <xdr:spPr>
          <a:xfrm>
            <a:off x="11517313" y="241477"/>
            <a:ext cx="174626" cy="5537023"/>
          </a:xfrm>
          <a:prstGeom prst="round2SameRect">
            <a:avLst>
              <a:gd name="adj1" fmla="val 0"/>
              <a:gd name="adj2" fmla="val 0"/>
            </a:avLst>
          </a:prstGeom>
          <a:solidFill>
            <a:srgbClr val="EBEBF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8</xdr:col>
      <xdr:colOff>119061</xdr:colOff>
      <xdr:row>5</xdr:row>
      <xdr:rowOff>166687</xdr:rowOff>
    </xdr:from>
    <xdr:to>
      <xdr:col>13</xdr:col>
      <xdr:colOff>95249</xdr:colOff>
      <xdr:row>30</xdr:row>
      <xdr:rowOff>47625</xdr:rowOff>
    </xdr:to>
    <xdr:sp macro="" textlink="">
      <xdr:nvSpPr>
        <xdr:cNvPr id="107" name="Rectangle: Rounded Corners 106">
          <a:extLst>
            <a:ext uri="{FF2B5EF4-FFF2-40B4-BE49-F238E27FC236}">
              <a16:creationId xmlns:a16="http://schemas.microsoft.com/office/drawing/2014/main" id="{8180ADF8-4A76-34DB-C260-A47EE5BD987E}"/>
            </a:ext>
          </a:extLst>
        </xdr:cNvPr>
        <xdr:cNvSpPr/>
      </xdr:nvSpPr>
      <xdr:spPr>
        <a:xfrm>
          <a:off x="8477249" y="1079500"/>
          <a:ext cx="3032125" cy="4659313"/>
        </a:xfrm>
        <a:prstGeom prst="roundRect">
          <a:avLst>
            <a:gd name="adj" fmla="val 6361"/>
          </a:avLst>
        </a:prstGeom>
        <a:solidFill>
          <a:srgbClr val="EBEBF2"/>
        </a:solidFill>
        <a:ln>
          <a:solidFill>
            <a:schemeClr val="tx1">
              <a:lumMod val="50000"/>
              <a:lumOff val="5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246063</xdr:colOff>
      <xdr:row>6</xdr:row>
      <xdr:rowOff>31750</xdr:rowOff>
    </xdr:from>
    <xdr:to>
      <xdr:col>12</xdr:col>
      <xdr:colOff>595312</xdr:colOff>
      <xdr:row>29</xdr:row>
      <xdr:rowOff>174625</xdr:rowOff>
    </xdr:to>
    <xdr:sp macro="" textlink="">
      <xdr:nvSpPr>
        <xdr:cNvPr id="108" name="TextBox 107">
          <a:extLst>
            <a:ext uri="{FF2B5EF4-FFF2-40B4-BE49-F238E27FC236}">
              <a16:creationId xmlns:a16="http://schemas.microsoft.com/office/drawing/2014/main" id="{FBE68065-62D0-5A51-AD1B-C00121307446}"/>
            </a:ext>
          </a:extLst>
        </xdr:cNvPr>
        <xdr:cNvSpPr txBox="1"/>
      </xdr:nvSpPr>
      <xdr:spPr>
        <a:xfrm>
          <a:off x="8604251" y="1127125"/>
          <a:ext cx="2793999" cy="4556125"/>
        </a:xfrm>
        <a:prstGeom prst="rect">
          <a:avLst/>
        </a:prstGeom>
        <a:solidFill>
          <a:srgbClr val="EBEBF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b="1">
              <a:solidFill>
                <a:schemeClr val="tx1"/>
              </a:solidFill>
              <a:latin typeface="Arial" panose="020B0604020202020204" pitchFamily="34" charset="0"/>
              <a:cs typeface="Arial" panose="020B0604020202020204" pitchFamily="34" charset="0"/>
            </a:rPr>
            <a:t>Insights:</a:t>
          </a:r>
        </a:p>
        <a:p>
          <a:pPr algn="l"/>
          <a:endParaRPr lang="en-US" sz="1200" b="1">
            <a:solidFill>
              <a:schemeClr val="tx1"/>
            </a:solidFill>
            <a:latin typeface="Arial" panose="020B0604020202020204" pitchFamily="34" charset="0"/>
            <a:cs typeface="Arial" panose="020B0604020202020204" pitchFamily="34" charset="0"/>
          </a:endParaRPr>
        </a:p>
        <a:p>
          <a:pPr algn="l"/>
          <a:r>
            <a:rPr lang="en-US" sz="1200" b="0">
              <a:solidFill>
                <a:schemeClr val="tx1"/>
              </a:solidFill>
              <a:latin typeface="Arial" panose="020B0604020202020204" pitchFamily="34" charset="0"/>
              <a:cs typeface="Arial" panose="020B0604020202020204" pitchFamily="34" charset="0"/>
            </a:rPr>
            <a:t>The</a:t>
          </a:r>
          <a:r>
            <a:rPr lang="en-US" sz="1200" b="0" baseline="0">
              <a:solidFill>
                <a:schemeClr val="tx1"/>
              </a:solidFill>
              <a:latin typeface="Arial" panose="020B0604020202020204" pitchFamily="34" charset="0"/>
              <a:cs typeface="Arial" panose="020B0604020202020204" pitchFamily="34" charset="0"/>
            </a:rPr>
            <a:t> trend reveals a l</a:t>
          </a:r>
          <a:r>
            <a:rPr lang="en-US" sz="1200">
              <a:latin typeface="Arial" panose="020B0604020202020204" pitchFamily="34" charset="0"/>
              <a:cs typeface="Arial" panose="020B0604020202020204" pitchFamily="34" charset="0"/>
            </a:rPr>
            <a:t>ikely </a:t>
          </a:r>
          <a:r>
            <a:rPr lang="en-US" sz="1200" b="0">
              <a:latin typeface="Arial" panose="020B0604020202020204" pitchFamily="34" charset="0"/>
              <a:cs typeface="Arial" panose="020B0604020202020204" pitchFamily="34" charset="0"/>
            </a:rPr>
            <a:t>high demand for antibiotics in early part of year (cold/flu season)</a:t>
          </a:r>
          <a:r>
            <a:rPr lang="en-US" sz="1200" b="0" baseline="0">
              <a:latin typeface="Arial" panose="020B0604020202020204" pitchFamily="34" charset="0"/>
              <a:cs typeface="Arial" panose="020B0604020202020204" pitchFamily="34" charset="0"/>
            </a:rPr>
            <a:t> which</a:t>
          </a:r>
          <a:r>
            <a:rPr lang="en-US" sz="1200" b="0">
              <a:latin typeface="Arial" panose="020B0604020202020204" pitchFamily="34" charset="0"/>
              <a:cs typeface="Arial" panose="020B0604020202020204" pitchFamily="34" charset="0"/>
            </a:rPr>
            <a:t> </a:t>
          </a:r>
          <a:r>
            <a:rPr lang="en-US" sz="1200">
              <a:latin typeface="Arial" panose="020B0604020202020204" pitchFamily="34" charset="0"/>
              <a:cs typeface="Arial" panose="020B0604020202020204" pitchFamily="34" charset="0"/>
            </a:rPr>
            <a:t>then declines mid-year</a:t>
          </a:r>
          <a:endParaRPr lang="en-US" sz="1200" b="0">
            <a:solidFill>
              <a:schemeClr val="tx1"/>
            </a:solidFill>
            <a:latin typeface="Arial" panose="020B0604020202020204" pitchFamily="34" charset="0"/>
            <a:cs typeface="Arial" panose="020B0604020202020204" pitchFamily="34" charset="0"/>
          </a:endParaRPr>
        </a:p>
        <a:p>
          <a:pPr algn="l"/>
          <a:endParaRPr lang="en-US" sz="1200">
            <a:solidFill>
              <a:schemeClr val="tx1"/>
            </a:solidFill>
            <a:latin typeface="Arial" panose="020B0604020202020204" pitchFamily="34" charset="0"/>
            <a:cs typeface="Arial" panose="020B0604020202020204" pitchFamily="34" charset="0"/>
          </a:endParaRPr>
        </a:p>
        <a:p>
          <a:pPr algn="l"/>
          <a:r>
            <a:rPr lang="en-US" sz="1200">
              <a:solidFill>
                <a:schemeClr val="tx1"/>
              </a:solidFill>
              <a:latin typeface="Arial" panose="020B0604020202020204" pitchFamily="34" charset="0"/>
              <a:cs typeface="Arial" panose="020B0604020202020204" pitchFamily="34" charset="0"/>
            </a:rPr>
            <a:t>Regionally, Southern Nigeria leads in pain relief consumption, suggesting higher usage or accessibility of such medications. Western Nigeria records the highest demand for cardiovascular and diabetes drugs, likely reflecting urban lifestyle trends and better healthcare access. Northern Nigeria shows the highest antibiotic usage, which could point to higher infection rates due</a:t>
          </a:r>
          <a:r>
            <a:rPr lang="en-US" sz="1200" baseline="0">
              <a:solidFill>
                <a:schemeClr val="tx1"/>
              </a:solidFill>
              <a:latin typeface="Arial" panose="020B0604020202020204" pitchFamily="34" charset="0"/>
              <a:cs typeface="Arial" panose="020B0604020202020204" pitchFamily="34" charset="0"/>
            </a:rPr>
            <a:t> to</a:t>
          </a:r>
          <a:r>
            <a:rPr lang="en-US" sz="1200">
              <a:solidFill>
                <a:schemeClr val="tx1"/>
              </a:solidFill>
              <a:latin typeface="Arial" panose="020B0604020202020204" pitchFamily="34" charset="0"/>
              <a:cs typeface="Arial" panose="020B0604020202020204" pitchFamily="34" charset="0"/>
            </a:rPr>
            <a:t> dust and</a:t>
          </a:r>
          <a:r>
            <a:rPr lang="en-US" sz="1200" baseline="0">
              <a:solidFill>
                <a:schemeClr val="tx1"/>
              </a:solidFill>
              <a:latin typeface="Arial" panose="020B0604020202020204" pitchFamily="34" charset="0"/>
              <a:cs typeface="Arial" panose="020B0604020202020204" pitchFamily="34" charset="0"/>
            </a:rPr>
            <a:t> fomites exposure</a:t>
          </a:r>
          <a:r>
            <a:rPr lang="en-US" sz="1200">
              <a:solidFill>
                <a:schemeClr val="tx1"/>
              </a:solidFill>
              <a:latin typeface="Arial" panose="020B0604020202020204" pitchFamily="34" charset="0"/>
              <a:cs typeface="Arial" panose="020B0604020202020204" pitchFamily="34" charset="0"/>
            </a:rPr>
            <a:t> or prescription patterns. Eastern Nigeria maintains a balanced demand across all drug categories without extreme variations</a:t>
          </a:r>
          <a:endParaRPr lang="en-US" sz="1200" b="1">
            <a:solidFill>
              <a:schemeClr val="tx1"/>
            </a:solidFill>
            <a:latin typeface="Arial" panose="020B0604020202020204" pitchFamily="34" charset="0"/>
            <a:cs typeface="Arial" panose="020B0604020202020204" pitchFamily="34" charset="0"/>
          </a:endParaRPr>
        </a:p>
      </xdr:txBody>
    </xdr:sp>
    <xdr:clientData/>
  </xdr:twoCellAnchor>
  <xdr:twoCellAnchor editAs="oneCell">
    <xdr:from>
      <xdr:col>5</xdr:col>
      <xdr:colOff>822854</xdr:colOff>
      <xdr:row>5</xdr:row>
      <xdr:rowOff>104070</xdr:rowOff>
    </xdr:from>
    <xdr:to>
      <xdr:col>5</xdr:col>
      <xdr:colOff>1191229</xdr:colOff>
      <xdr:row>7</xdr:row>
      <xdr:rowOff>107320</xdr:rowOff>
    </xdr:to>
    <xdr:pic>
      <xdr:nvPicPr>
        <xdr:cNvPr id="155" name="Graphic 154" descr="Delivery with solid fill">
          <a:extLst>
            <a:ext uri="{FF2B5EF4-FFF2-40B4-BE49-F238E27FC236}">
              <a16:creationId xmlns:a16="http://schemas.microsoft.com/office/drawing/2014/main" id="{6D992AFE-96EF-45B8-84BB-91F01B2E4E3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140854" y="1016883"/>
          <a:ext cx="368375" cy="368375"/>
        </a:xfrm>
        <a:prstGeom prst="rect">
          <a:avLst/>
        </a:prstGeom>
      </xdr:spPr>
    </xdr:pic>
    <xdr:clientData/>
  </xdr:twoCellAnchor>
  <xdr:twoCellAnchor editAs="oneCell">
    <xdr:from>
      <xdr:col>4</xdr:col>
      <xdr:colOff>513291</xdr:colOff>
      <xdr:row>5</xdr:row>
      <xdr:rowOff>96132</xdr:rowOff>
    </xdr:from>
    <xdr:to>
      <xdr:col>4</xdr:col>
      <xdr:colOff>881666</xdr:colOff>
      <xdr:row>7</xdr:row>
      <xdr:rowOff>99382</xdr:rowOff>
    </xdr:to>
    <xdr:pic>
      <xdr:nvPicPr>
        <xdr:cNvPr id="156" name="Graphic 155" descr="Money with solid fill">
          <a:extLst>
            <a:ext uri="{FF2B5EF4-FFF2-40B4-BE49-F238E27FC236}">
              <a16:creationId xmlns:a16="http://schemas.microsoft.com/office/drawing/2014/main" id="{3D69C562-AE3E-4A64-A8BE-249D55760955}"/>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466041" y="1008945"/>
          <a:ext cx="368375" cy="368375"/>
        </a:xfrm>
        <a:prstGeom prst="rect">
          <a:avLst/>
        </a:prstGeom>
      </xdr:spPr>
    </xdr:pic>
    <xdr:clientData/>
  </xdr:twoCellAnchor>
  <xdr:twoCellAnchor editAs="oneCell">
    <xdr:from>
      <xdr:col>3</xdr:col>
      <xdr:colOff>116416</xdr:colOff>
      <xdr:row>5</xdr:row>
      <xdr:rowOff>143757</xdr:rowOff>
    </xdr:from>
    <xdr:to>
      <xdr:col>3</xdr:col>
      <xdr:colOff>484791</xdr:colOff>
      <xdr:row>7</xdr:row>
      <xdr:rowOff>147007</xdr:rowOff>
    </xdr:to>
    <xdr:pic>
      <xdr:nvPicPr>
        <xdr:cNvPr id="157" name="Graphic 156" descr="Bar graph with upward trend outline">
          <a:extLst>
            <a:ext uri="{FF2B5EF4-FFF2-40B4-BE49-F238E27FC236}">
              <a16:creationId xmlns:a16="http://schemas.microsoft.com/office/drawing/2014/main" id="{F8DB1D4A-2592-4838-BF71-4EA8528FD4C4}"/>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703916" y="1056570"/>
          <a:ext cx="368375" cy="368375"/>
        </a:xfrm>
        <a:prstGeom prst="rect">
          <a:avLst/>
        </a:prstGeom>
      </xdr:spPr>
    </xdr:pic>
    <xdr:clientData/>
  </xdr:twoCellAnchor>
  <xdr:twoCellAnchor editAs="oneCell">
    <xdr:from>
      <xdr:col>6</xdr:col>
      <xdr:colOff>1275291</xdr:colOff>
      <xdr:row>5</xdr:row>
      <xdr:rowOff>88195</xdr:rowOff>
    </xdr:from>
    <xdr:to>
      <xdr:col>7</xdr:col>
      <xdr:colOff>322791</xdr:colOff>
      <xdr:row>7</xdr:row>
      <xdr:rowOff>135820</xdr:rowOff>
    </xdr:to>
    <xdr:pic>
      <xdr:nvPicPr>
        <xdr:cNvPr id="158" name="Graphic 157" descr="Label with solid fill">
          <a:extLst>
            <a:ext uri="{FF2B5EF4-FFF2-40B4-BE49-F238E27FC236}">
              <a16:creationId xmlns:a16="http://schemas.microsoft.com/office/drawing/2014/main" id="{E6F7BCA5-423A-4D73-AA56-315273734EE5}"/>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958541" y="1001008"/>
          <a:ext cx="412750" cy="412750"/>
        </a:xfrm>
        <a:prstGeom prst="rect">
          <a:avLst/>
        </a:prstGeom>
      </xdr:spPr>
    </xdr:pic>
    <xdr:clientData/>
  </xdr:twoCellAnchor>
  <xdr:twoCellAnchor>
    <xdr:from>
      <xdr:col>6</xdr:col>
      <xdr:colOff>976313</xdr:colOff>
      <xdr:row>2</xdr:row>
      <xdr:rowOff>142875</xdr:rowOff>
    </xdr:from>
    <xdr:to>
      <xdr:col>8</xdr:col>
      <xdr:colOff>317500</xdr:colOff>
      <xdr:row>4</xdr:row>
      <xdr:rowOff>55562</xdr:rowOff>
    </xdr:to>
    <xdr:sp macro="" textlink="">
      <xdr:nvSpPr>
        <xdr:cNvPr id="159" name="Rectangle: Rounded Corners 158">
          <a:hlinkClick xmlns:r="http://schemas.openxmlformats.org/officeDocument/2006/relationships" r:id="rId9"/>
          <a:extLst>
            <a:ext uri="{FF2B5EF4-FFF2-40B4-BE49-F238E27FC236}">
              <a16:creationId xmlns:a16="http://schemas.microsoft.com/office/drawing/2014/main" id="{DFB7FAFE-DB87-4B3B-8112-443409F3702E}"/>
            </a:ext>
          </a:extLst>
        </xdr:cNvPr>
        <xdr:cNvSpPr/>
      </xdr:nvSpPr>
      <xdr:spPr>
        <a:xfrm>
          <a:off x="6659563" y="508000"/>
          <a:ext cx="2016125" cy="277812"/>
        </a:xfrm>
        <a:prstGeom prst="roundRect">
          <a:avLst/>
        </a:prstGeom>
        <a:solidFill>
          <a:srgbClr val="4F5F80"/>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a:solidFill>
                <a:schemeClr val="bg1"/>
              </a:solidFill>
            </a:rPr>
            <a:t>Sales</a:t>
          </a:r>
          <a:r>
            <a:rPr lang="en-US" sz="1200" baseline="0">
              <a:solidFill>
                <a:schemeClr val="bg1"/>
              </a:solidFill>
            </a:rPr>
            <a:t> Performance Analysis</a:t>
          </a:r>
          <a:endParaRPr lang="en-US" sz="1200">
            <a:solidFill>
              <a:schemeClr val="bg1"/>
            </a:solidFill>
          </a:endParaRPr>
        </a:p>
      </xdr:txBody>
    </xdr:sp>
    <xdr:clientData/>
  </xdr:twoCellAnchor>
  <xdr:twoCellAnchor>
    <xdr:from>
      <xdr:col>9</xdr:col>
      <xdr:colOff>279400</xdr:colOff>
      <xdr:row>2</xdr:row>
      <xdr:rowOff>142875</xdr:rowOff>
    </xdr:from>
    <xdr:to>
      <xdr:col>12</xdr:col>
      <xdr:colOff>461962</xdr:colOff>
      <xdr:row>4</xdr:row>
      <xdr:rowOff>55562</xdr:rowOff>
    </xdr:to>
    <xdr:sp macro="" textlink="">
      <xdr:nvSpPr>
        <xdr:cNvPr id="160" name="Rectangle: Rounded Corners 159">
          <a:hlinkClick xmlns:r="http://schemas.openxmlformats.org/officeDocument/2006/relationships" r:id="rId10"/>
          <a:extLst>
            <a:ext uri="{FF2B5EF4-FFF2-40B4-BE49-F238E27FC236}">
              <a16:creationId xmlns:a16="http://schemas.microsoft.com/office/drawing/2014/main" id="{B1ED3EAB-7716-4DE5-861A-3D9766DDD0CF}"/>
            </a:ext>
          </a:extLst>
        </xdr:cNvPr>
        <xdr:cNvSpPr/>
      </xdr:nvSpPr>
      <xdr:spPr>
        <a:xfrm>
          <a:off x="9248775" y="508000"/>
          <a:ext cx="2016125" cy="277812"/>
        </a:xfrm>
        <a:prstGeom prst="roundRect">
          <a:avLst/>
        </a:prstGeom>
        <a:solidFill>
          <a:srgbClr val="4F5F80"/>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Monthly &amp; Regional Health Trend</a:t>
          </a:r>
        </a:p>
      </xdr:txBody>
    </xdr:sp>
    <xdr:clientData/>
  </xdr:twoCellAnchor>
  <xdr:twoCellAnchor editAs="oneCell">
    <xdr:from>
      <xdr:col>0</xdr:col>
      <xdr:colOff>91282</xdr:colOff>
      <xdr:row>8</xdr:row>
      <xdr:rowOff>254883</xdr:rowOff>
    </xdr:from>
    <xdr:to>
      <xdr:col>2</xdr:col>
      <xdr:colOff>218282</xdr:colOff>
      <xdr:row>13</xdr:row>
      <xdr:rowOff>130527</xdr:rowOff>
    </xdr:to>
    <mc:AlternateContent xmlns:mc="http://schemas.openxmlformats.org/markup-compatibility/2006" xmlns:a14="http://schemas.microsoft.com/office/drawing/2010/main">
      <mc:Choice Requires="a14">
        <xdr:graphicFrame macro="">
          <xdr:nvGraphicFramePr>
            <xdr:cNvPr id="2" name="Years (Date) 3">
              <a:extLst>
                <a:ext uri="{FF2B5EF4-FFF2-40B4-BE49-F238E27FC236}">
                  <a16:creationId xmlns:a16="http://schemas.microsoft.com/office/drawing/2014/main" id="{2263984F-2B04-47F3-A352-9F8D5732105A}"/>
                </a:ext>
              </a:extLst>
            </xdr:cNvPr>
            <xdr:cNvGraphicFramePr/>
          </xdr:nvGraphicFramePr>
          <xdr:xfrm>
            <a:off x="0" y="0"/>
            <a:ext cx="0" cy="0"/>
          </xdr:xfrm>
          <a:graphic>
            <a:graphicData uri="http://schemas.microsoft.com/office/drawing/2010/slicer">
              <sle:slicer xmlns:sle="http://schemas.microsoft.com/office/drawing/2010/slicer" name="Years (Date) 3"/>
            </a:graphicData>
          </a:graphic>
        </xdr:graphicFrame>
      </mc:Choice>
      <mc:Fallback xmlns="">
        <xdr:sp macro="" textlink="">
          <xdr:nvSpPr>
            <xdr:cNvPr id="0" name=""/>
            <xdr:cNvSpPr>
              <a:spLocks noTextEdit="1"/>
            </xdr:cNvSpPr>
          </xdr:nvSpPr>
          <xdr:spPr>
            <a:xfrm>
              <a:off x="91282" y="1715383"/>
              <a:ext cx="1349375" cy="10027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465666</xdr:colOff>
      <xdr:row>2</xdr:row>
      <xdr:rowOff>56446</xdr:rowOff>
    </xdr:from>
    <xdr:to>
      <xdr:col>1</xdr:col>
      <xdr:colOff>608541</xdr:colOff>
      <xdr:row>6</xdr:row>
      <xdr:rowOff>80259</xdr:rowOff>
    </xdr:to>
    <xdr:pic>
      <xdr:nvPicPr>
        <xdr:cNvPr id="3" name="Picture 2">
          <a:extLst>
            <a:ext uri="{FF2B5EF4-FFF2-40B4-BE49-F238E27FC236}">
              <a16:creationId xmlns:a16="http://schemas.microsoft.com/office/drawing/2014/main" id="{D2E2E79E-C7CD-481D-BDEE-706CC95B915F}"/>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465666" y="421571"/>
          <a:ext cx="754063" cy="754063"/>
        </a:xfrm>
        <a:prstGeom prst="rect">
          <a:avLst/>
        </a:prstGeom>
      </xdr:spPr>
    </xdr:pic>
    <xdr:clientData/>
  </xdr:twoCellAnchor>
  <xdr:twoCellAnchor editAs="oneCell">
    <xdr:from>
      <xdr:col>0</xdr:col>
      <xdr:colOff>87313</xdr:colOff>
      <xdr:row>14</xdr:row>
      <xdr:rowOff>79374</xdr:rowOff>
    </xdr:from>
    <xdr:to>
      <xdr:col>2</xdr:col>
      <xdr:colOff>222250</xdr:colOff>
      <xdr:row>24</xdr:row>
      <xdr:rowOff>112181</xdr:rowOff>
    </xdr:to>
    <mc:AlternateContent xmlns:mc="http://schemas.openxmlformats.org/markup-compatibility/2006" xmlns:a14="http://schemas.microsoft.com/office/drawing/2010/main">
      <mc:Choice Requires="a14">
        <xdr:graphicFrame macro="">
          <xdr:nvGraphicFramePr>
            <xdr:cNvPr id="4" name="Sales Rep 1">
              <a:extLst>
                <a:ext uri="{FF2B5EF4-FFF2-40B4-BE49-F238E27FC236}">
                  <a16:creationId xmlns:a16="http://schemas.microsoft.com/office/drawing/2014/main" id="{FA2108EA-437C-472B-AE55-381F735998FD}"/>
                </a:ext>
              </a:extLst>
            </xdr:cNvPr>
            <xdr:cNvGraphicFramePr/>
          </xdr:nvGraphicFramePr>
          <xdr:xfrm>
            <a:off x="0" y="0"/>
            <a:ext cx="0" cy="0"/>
          </xdr:xfrm>
          <a:graphic>
            <a:graphicData uri="http://schemas.microsoft.com/office/drawing/2010/slicer">
              <sle:slicer xmlns:sle="http://schemas.microsoft.com/office/drawing/2010/slicer" name="Sales Rep 1"/>
            </a:graphicData>
          </a:graphic>
        </xdr:graphicFrame>
      </mc:Choice>
      <mc:Fallback xmlns="">
        <xdr:sp macro="" textlink="">
          <xdr:nvSpPr>
            <xdr:cNvPr id="0" name=""/>
            <xdr:cNvSpPr>
              <a:spLocks noTextEdit="1"/>
            </xdr:cNvSpPr>
          </xdr:nvSpPr>
          <xdr:spPr>
            <a:xfrm>
              <a:off x="87313" y="2849562"/>
              <a:ext cx="1357312" cy="185843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1</xdr:row>
      <xdr:rowOff>23812</xdr:rowOff>
    </xdr:from>
    <xdr:to>
      <xdr:col>13</xdr:col>
      <xdr:colOff>476251</xdr:colOff>
      <xdr:row>42</xdr:row>
      <xdr:rowOff>103187</xdr:rowOff>
    </xdr:to>
    <xdr:grpSp>
      <xdr:nvGrpSpPr>
        <xdr:cNvPr id="14" name="Group 13">
          <a:extLst>
            <a:ext uri="{FF2B5EF4-FFF2-40B4-BE49-F238E27FC236}">
              <a16:creationId xmlns:a16="http://schemas.microsoft.com/office/drawing/2014/main" id="{E3AC0DA7-1632-D505-D6B5-EFAEC64F0C4D}"/>
            </a:ext>
          </a:extLst>
        </xdr:cNvPr>
        <xdr:cNvGrpSpPr/>
      </xdr:nvGrpSpPr>
      <xdr:grpSpPr>
        <a:xfrm>
          <a:off x="0" y="206375"/>
          <a:ext cx="11890376" cy="7778750"/>
          <a:chOff x="0" y="206375"/>
          <a:chExt cx="11890376" cy="7778750"/>
        </a:xfrm>
        <a:solidFill>
          <a:schemeClr val="tx2"/>
        </a:solidFill>
      </xdr:grpSpPr>
      <xdr:grpSp>
        <xdr:nvGrpSpPr>
          <xdr:cNvPr id="12" name="Group 11">
            <a:extLst>
              <a:ext uri="{FF2B5EF4-FFF2-40B4-BE49-F238E27FC236}">
                <a16:creationId xmlns:a16="http://schemas.microsoft.com/office/drawing/2014/main" id="{A951BD40-5032-2848-D288-65EA6646D62C}"/>
              </a:ext>
            </a:extLst>
          </xdr:cNvPr>
          <xdr:cNvGrpSpPr/>
        </xdr:nvGrpSpPr>
        <xdr:grpSpPr>
          <a:xfrm>
            <a:off x="0" y="206375"/>
            <a:ext cx="11890376" cy="7778750"/>
            <a:chOff x="0" y="206375"/>
            <a:chExt cx="11890376" cy="7778750"/>
          </a:xfrm>
          <a:grpFill/>
        </xdr:grpSpPr>
        <xdr:sp macro="" textlink="">
          <xdr:nvSpPr>
            <xdr:cNvPr id="8" name="Rectangle: Rounded Corners 7">
              <a:extLst>
                <a:ext uri="{FF2B5EF4-FFF2-40B4-BE49-F238E27FC236}">
                  <a16:creationId xmlns:a16="http://schemas.microsoft.com/office/drawing/2014/main" id="{EE869E94-5641-F16D-AC12-EA8B947C697C}"/>
                </a:ext>
              </a:extLst>
            </xdr:cNvPr>
            <xdr:cNvSpPr/>
          </xdr:nvSpPr>
          <xdr:spPr>
            <a:xfrm>
              <a:off x="0" y="1333500"/>
              <a:ext cx="71438" cy="6564312"/>
            </a:xfrm>
            <a:prstGeom prst="roundRect">
              <a:avLst>
                <a:gd name="adj" fmla="val 50000"/>
              </a:avLst>
            </a:prstGeom>
            <a:grpFill/>
            <a:ln>
              <a:solidFill>
                <a:schemeClr val="tx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9" name="Rectangle: Single Corner Snipped 8">
              <a:extLst>
                <a:ext uri="{FF2B5EF4-FFF2-40B4-BE49-F238E27FC236}">
                  <a16:creationId xmlns:a16="http://schemas.microsoft.com/office/drawing/2014/main" id="{7EB044C0-CE89-576A-1D01-EAB7255DD065}"/>
                </a:ext>
              </a:extLst>
            </xdr:cNvPr>
            <xdr:cNvSpPr/>
          </xdr:nvSpPr>
          <xdr:spPr>
            <a:xfrm>
              <a:off x="87312" y="5619750"/>
              <a:ext cx="254001" cy="2357438"/>
            </a:xfrm>
            <a:prstGeom prst="snip1Rect">
              <a:avLst>
                <a:gd name="adj" fmla="val 50000"/>
              </a:avLst>
            </a:prstGeom>
            <a:grpFill/>
            <a:ln>
              <a:solidFill>
                <a:schemeClr val="tx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0" name="Right Triangle 9">
              <a:extLst>
                <a:ext uri="{FF2B5EF4-FFF2-40B4-BE49-F238E27FC236}">
                  <a16:creationId xmlns:a16="http://schemas.microsoft.com/office/drawing/2014/main" id="{103A0836-A83D-99F0-B31D-3907A14AF0A8}"/>
                </a:ext>
              </a:extLst>
            </xdr:cNvPr>
            <xdr:cNvSpPr/>
          </xdr:nvSpPr>
          <xdr:spPr>
            <a:xfrm>
              <a:off x="79375" y="5381625"/>
              <a:ext cx="127000" cy="230188"/>
            </a:xfrm>
            <a:prstGeom prst="rtTriangle">
              <a:avLst/>
            </a:prstGeom>
            <a:grpFill/>
            <a:ln>
              <a:solidFill>
                <a:schemeClr val="tx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1" name="Rectangle 10">
              <a:extLst>
                <a:ext uri="{FF2B5EF4-FFF2-40B4-BE49-F238E27FC236}">
                  <a16:creationId xmlns:a16="http://schemas.microsoft.com/office/drawing/2014/main" id="{CC29B340-A4EE-EC63-6D9D-DECE7FACBDCF}"/>
                </a:ext>
              </a:extLst>
            </xdr:cNvPr>
            <xdr:cNvSpPr/>
          </xdr:nvSpPr>
          <xdr:spPr>
            <a:xfrm>
              <a:off x="349250" y="5786438"/>
              <a:ext cx="11541126" cy="2198687"/>
            </a:xfrm>
            <a:prstGeom prst="rect">
              <a:avLst/>
            </a:prstGeom>
            <a:grpFill/>
            <a:ln>
              <a:solidFill>
                <a:schemeClr val="tx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2" name="Rectangle 21">
              <a:extLst>
                <a:ext uri="{FF2B5EF4-FFF2-40B4-BE49-F238E27FC236}">
                  <a16:creationId xmlns:a16="http://schemas.microsoft.com/office/drawing/2014/main" id="{CFE3D303-366E-23A9-4BA1-1A7A8DC88825}"/>
                </a:ext>
              </a:extLst>
            </xdr:cNvPr>
            <xdr:cNvSpPr/>
          </xdr:nvSpPr>
          <xdr:spPr>
            <a:xfrm rot="16200000">
              <a:off x="8900716" y="3003154"/>
              <a:ext cx="5786437" cy="192880"/>
            </a:xfrm>
            <a:prstGeom prst="rect">
              <a:avLst/>
            </a:prstGeom>
            <a:grpFill/>
            <a:ln>
              <a:solidFill>
                <a:schemeClr val="tx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sp macro="" textlink="">
        <xdr:nvSpPr>
          <xdr:cNvPr id="13" name="Right Triangle 12">
            <a:extLst>
              <a:ext uri="{FF2B5EF4-FFF2-40B4-BE49-F238E27FC236}">
                <a16:creationId xmlns:a16="http://schemas.microsoft.com/office/drawing/2014/main" id="{F69E35DE-812E-E6D0-9C65-1C21D94007B6}"/>
              </a:ext>
            </a:extLst>
          </xdr:cNvPr>
          <xdr:cNvSpPr/>
        </xdr:nvSpPr>
        <xdr:spPr>
          <a:xfrm>
            <a:off x="238125" y="5635625"/>
            <a:ext cx="261938" cy="174625"/>
          </a:xfrm>
          <a:prstGeom prst="rtTriangle">
            <a:avLst/>
          </a:prstGeom>
          <a:grpFill/>
          <a:ln>
            <a:solidFill>
              <a:schemeClr val="tx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0</xdr:col>
      <xdr:colOff>0</xdr:colOff>
      <xdr:row>0</xdr:row>
      <xdr:rowOff>0</xdr:rowOff>
    </xdr:from>
    <xdr:to>
      <xdr:col>13</xdr:col>
      <xdr:colOff>476252</xdr:colOff>
      <xdr:row>17</xdr:row>
      <xdr:rowOff>71432</xdr:rowOff>
    </xdr:to>
    <xdr:grpSp>
      <xdr:nvGrpSpPr>
        <xdr:cNvPr id="15" name="Group 14">
          <a:extLst>
            <a:ext uri="{FF2B5EF4-FFF2-40B4-BE49-F238E27FC236}">
              <a16:creationId xmlns:a16="http://schemas.microsoft.com/office/drawing/2014/main" id="{9AA833CD-30E8-03F2-5AD6-2533F77D1C05}"/>
            </a:ext>
          </a:extLst>
        </xdr:cNvPr>
        <xdr:cNvGrpSpPr/>
      </xdr:nvGrpSpPr>
      <xdr:grpSpPr>
        <a:xfrm flipV="1">
          <a:off x="0" y="0"/>
          <a:ext cx="11890377" cy="3389307"/>
          <a:chOff x="23812" y="1325573"/>
          <a:chExt cx="11890377" cy="6659553"/>
        </a:xfrm>
        <a:solidFill>
          <a:schemeClr val="tx2"/>
        </a:solidFill>
      </xdr:grpSpPr>
      <xdr:grpSp>
        <xdr:nvGrpSpPr>
          <xdr:cNvPr id="16" name="Group 15">
            <a:extLst>
              <a:ext uri="{FF2B5EF4-FFF2-40B4-BE49-F238E27FC236}">
                <a16:creationId xmlns:a16="http://schemas.microsoft.com/office/drawing/2014/main" id="{08DEE381-D626-92E1-FDA1-1502D279ECAF}"/>
              </a:ext>
            </a:extLst>
          </xdr:cNvPr>
          <xdr:cNvGrpSpPr/>
        </xdr:nvGrpSpPr>
        <xdr:grpSpPr>
          <a:xfrm>
            <a:off x="23812" y="1325573"/>
            <a:ext cx="11890377" cy="6659553"/>
            <a:chOff x="23812" y="1325573"/>
            <a:chExt cx="11890377" cy="6659553"/>
          </a:xfrm>
          <a:grpFill/>
        </xdr:grpSpPr>
        <xdr:sp macro="" textlink="">
          <xdr:nvSpPr>
            <xdr:cNvPr id="18" name="Rectangle: Rounded Corners 17">
              <a:extLst>
                <a:ext uri="{FF2B5EF4-FFF2-40B4-BE49-F238E27FC236}">
                  <a16:creationId xmlns:a16="http://schemas.microsoft.com/office/drawing/2014/main" id="{0D62A4A1-665B-459B-6916-8DF7B1F1339C}"/>
                </a:ext>
              </a:extLst>
            </xdr:cNvPr>
            <xdr:cNvSpPr/>
          </xdr:nvSpPr>
          <xdr:spPr>
            <a:xfrm>
              <a:off x="23812" y="1325573"/>
              <a:ext cx="71438" cy="6572249"/>
            </a:xfrm>
            <a:prstGeom prst="roundRect">
              <a:avLst>
                <a:gd name="adj" fmla="val 50000"/>
              </a:avLst>
            </a:prstGeom>
            <a:grpFill/>
            <a:ln>
              <a:solidFill>
                <a:schemeClr val="tx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9" name="Rectangle: Single Corner Snipped 18">
              <a:extLst>
                <a:ext uri="{FF2B5EF4-FFF2-40B4-BE49-F238E27FC236}">
                  <a16:creationId xmlns:a16="http://schemas.microsoft.com/office/drawing/2014/main" id="{4A3DB8DA-6DCE-7567-5876-F0C0B8ECE578}"/>
                </a:ext>
              </a:extLst>
            </xdr:cNvPr>
            <xdr:cNvSpPr/>
          </xdr:nvSpPr>
          <xdr:spPr>
            <a:xfrm>
              <a:off x="55562" y="7033758"/>
              <a:ext cx="269876" cy="935770"/>
            </a:xfrm>
            <a:prstGeom prst="snip1Rect">
              <a:avLst>
                <a:gd name="adj" fmla="val 50000"/>
              </a:avLst>
            </a:prstGeom>
            <a:grpFill/>
            <a:ln>
              <a:solidFill>
                <a:schemeClr val="tx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0" name="Right Triangle 19">
              <a:extLst>
                <a:ext uri="{FF2B5EF4-FFF2-40B4-BE49-F238E27FC236}">
                  <a16:creationId xmlns:a16="http://schemas.microsoft.com/office/drawing/2014/main" id="{5A2397CF-39F2-71DB-5588-D7A1C699E79D}"/>
                </a:ext>
              </a:extLst>
            </xdr:cNvPr>
            <xdr:cNvSpPr/>
          </xdr:nvSpPr>
          <xdr:spPr>
            <a:xfrm>
              <a:off x="71438" y="6487895"/>
              <a:ext cx="119062" cy="530270"/>
            </a:xfrm>
            <a:prstGeom prst="rtTriangle">
              <a:avLst/>
            </a:prstGeom>
            <a:grpFill/>
            <a:ln>
              <a:solidFill>
                <a:schemeClr val="tx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1" name="Rectangle 20">
              <a:extLst>
                <a:ext uri="{FF2B5EF4-FFF2-40B4-BE49-F238E27FC236}">
                  <a16:creationId xmlns:a16="http://schemas.microsoft.com/office/drawing/2014/main" id="{367F067C-E7F5-F662-7FF6-C3DA63F7215F}"/>
                </a:ext>
              </a:extLst>
            </xdr:cNvPr>
            <xdr:cNvSpPr/>
          </xdr:nvSpPr>
          <xdr:spPr>
            <a:xfrm>
              <a:off x="325438" y="7533211"/>
              <a:ext cx="11588751" cy="451915"/>
            </a:xfrm>
            <a:prstGeom prst="rect">
              <a:avLst/>
            </a:prstGeom>
            <a:grpFill/>
            <a:ln>
              <a:solidFill>
                <a:schemeClr val="tx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sp macro="" textlink="">
        <xdr:nvSpPr>
          <xdr:cNvPr id="17" name="Right Triangle 16">
            <a:extLst>
              <a:ext uri="{FF2B5EF4-FFF2-40B4-BE49-F238E27FC236}">
                <a16:creationId xmlns:a16="http://schemas.microsoft.com/office/drawing/2014/main" id="{D0092880-08D6-661D-EA32-1E77BC32FB97}"/>
              </a:ext>
            </a:extLst>
          </xdr:cNvPr>
          <xdr:cNvSpPr/>
        </xdr:nvSpPr>
        <xdr:spPr>
          <a:xfrm>
            <a:off x="341313" y="7335607"/>
            <a:ext cx="261938" cy="174626"/>
          </a:xfrm>
          <a:prstGeom prst="rtTriangle">
            <a:avLst/>
          </a:prstGeom>
          <a:grpFill/>
          <a:ln>
            <a:solidFill>
              <a:schemeClr val="tx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97.977168518519" createdVersion="8" refreshedVersion="8" minRefreshableVersion="3" recordCount="502" xr:uid="{1B486B06-C1A9-4041-9240-400607B0360D}">
  <cacheSource type="worksheet">
    <worksheetSource ref="A1:N504" sheet="Pharmacy_Analysis_Clean"/>
  </cacheSource>
  <cacheFields count="17">
    <cacheField name="Date" numFmtId="14">
      <sharedItems containsSemiMixedTypes="0" containsNonDate="0" containsDate="1" containsString="0" minDate="2024-01-14T00:00:00" maxDate="2025-05-30T00:00:00" count="502">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5T00:00:00"/>
        <d v="2025-05-06T00:00:00"/>
        <d v="2025-05-07T00:00:00"/>
        <d v="2025-05-08T00:00:00"/>
        <d v="2025-05-09T00:00:00"/>
        <d v="2025-05-10T00:00:00"/>
        <d v="2025-05-11T00:00:00"/>
        <d v="2025-05-12T00:00:00"/>
        <d v="2025-05-13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sharedItems>
      <fieldGroup par="16"/>
    </cacheField>
    <cacheField name="Region ID" numFmtId="14">
      <sharedItems count="4">
        <s v="WN/101"/>
        <s v="NN/101"/>
        <s v="EN/101"/>
        <s v="SN/101"/>
      </sharedItems>
    </cacheField>
    <cacheField name="Region" numFmtId="0">
      <sharedItems count="4">
        <s v="Western Nigeria"/>
        <s v="Northern Nigeria"/>
        <s v="Eastern Nigeria"/>
        <s v="Southern Nigeria"/>
      </sharedItems>
    </cacheField>
    <cacheField name="DRUG ID" numFmtId="0">
      <sharedItems count="8">
        <s v="DIA"/>
        <s v="CAR"/>
        <s v="HEA"/>
        <s v="MAX"/>
        <s v="NEU"/>
        <s v="REL"/>
        <s v="ZYM"/>
        <s v="GLU"/>
      </sharedItems>
    </cacheField>
    <cacheField name="  Drug Name" numFmtId="0">
      <sharedItems count="8">
        <s v="Diafast"/>
        <s v="CardioVex"/>
        <s v="Heartzol"/>
        <s v="Maxilin"/>
        <s v="Neuroflex"/>
        <s v="Relipain"/>
        <s v="Zymetra"/>
        <s v="Glucorin"/>
      </sharedItems>
    </cacheField>
    <cacheField name="Category ID" numFmtId="0">
      <sharedItems count="4">
        <s v="CAT-DIAB"/>
        <s v="CAT-CARD"/>
        <s v="CAT-ANBX"/>
        <s v="CAT-PAIN"/>
      </sharedItems>
    </cacheField>
    <cacheField name="Category" numFmtId="0">
      <sharedItems count="4">
        <s v="Diabetes Care"/>
        <s v="Cardiovascular"/>
        <s v="Antibiotic"/>
        <s v="Pain Relief"/>
      </sharedItems>
    </cacheField>
    <cacheField name="SALES REP ID" numFmtId="0">
      <sharedItems count="5">
        <s v="REP/001"/>
        <s v="REP/002"/>
        <s v="REP/003"/>
        <s v="REP/004"/>
        <s v="REP/005"/>
      </sharedItems>
    </cacheField>
    <cacheField name="Sales Rep" numFmtId="0">
      <sharedItems count="5">
        <s v="Mohammed Bello"/>
        <s v="Grace Umeh"/>
        <s v="Jane Akins"/>
        <s v="Laila Hussein"/>
        <s v="Emeka Obi"/>
      </sharedItems>
    </cacheField>
    <cacheField name="Units Sold" numFmtId="1">
      <sharedItems containsSemiMixedTypes="0" containsString="0" containsNumber="1" containsInteger="1" minValue="20" maxValue="200" count="168">
        <n v="169"/>
        <n v="185"/>
        <n v="126"/>
        <n v="78"/>
        <n v="147"/>
        <n v="184"/>
        <n v="75"/>
        <n v="125"/>
        <n v="68"/>
        <n v="83"/>
        <n v="186"/>
        <n v="57"/>
        <n v="91"/>
        <n v="137"/>
        <n v="58"/>
        <n v="100"/>
        <n v="56"/>
        <n v="53"/>
        <n v="176"/>
        <n v="191"/>
        <n v="84"/>
        <n v="188"/>
        <n v="113"/>
        <n v="73"/>
        <n v="143"/>
        <n v="170"/>
        <n v="187"/>
        <n v="66"/>
        <n v="94"/>
        <n v="145"/>
        <n v="142"/>
        <n v="102"/>
        <n v="140"/>
        <n v="103"/>
        <n v="85"/>
        <n v="39"/>
        <n v="61"/>
        <n v="155"/>
        <n v="42"/>
        <n v="71"/>
        <n v="144"/>
        <n v="36"/>
        <n v="110"/>
        <n v="60"/>
        <n v="134"/>
        <n v="20"/>
        <n v="24"/>
        <n v="70"/>
        <n v="158"/>
        <n v="119"/>
        <n v="154"/>
        <n v="190"/>
        <n v="195"/>
        <n v="23"/>
        <n v="30"/>
        <n v="28"/>
        <n v="132"/>
        <n v="104"/>
        <n v="93"/>
        <n v="164"/>
        <n v="77"/>
        <n v="182"/>
        <n v="92"/>
        <n v="46"/>
        <n v="25"/>
        <n v="21"/>
        <n v="141"/>
        <n v="40"/>
        <n v="35"/>
        <n v="183"/>
        <n v="29"/>
        <n v="116"/>
        <n v="179"/>
        <n v="38"/>
        <n v="80"/>
        <n v="34"/>
        <n v="138"/>
        <n v="130"/>
        <n v="72"/>
        <n v="52"/>
        <n v="118"/>
        <n v="151"/>
        <n v="199"/>
        <n v="50"/>
        <n v="168"/>
        <n v="37"/>
        <n v="160"/>
        <n v="149"/>
        <n v="124"/>
        <n v="163"/>
        <n v="106"/>
        <n v="55"/>
        <n v="162"/>
        <n v="97"/>
        <n v="105"/>
        <n v="152"/>
        <n v="128"/>
        <n v="86"/>
        <n v="148"/>
        <n v="197"/>
        <n v="82"/>
        <n v="177"/>
        <n v="62"/>
        <n v="51"/>
        <n v="121"/>
        <n v="133"/>
        <n v="167"/>
        <n v="122"/>
        <n v="127"/>
        <n v="27"/>
        <n v="43"/>
        <n v="111"/>
        <n v="192"/>
        <n v="32"/>
        <n v="48"/>
        <n v="54"/>
        <n v="136"/>
        <n v="76"/>
        <n v="115"/>
        <n v="166"/>
        <n v="88"/>
        <n v="165"/>
        <n v="69"/>
        <n v="157"/>
        <n v="131"/>
        <n v="22"/>
        <n v="65"/>
        <n v="171"/>
        <n v="41"/>
        <n v="174"/>
        <n v="64"/>
        <n v="159"/>
        <n v="74"/>
        <n v="63"/>
        <n v="96"/>
        <n v="67"/>
        <n v="108"/>
        <n v="101"/>
        <n v="153"/>
        <n v="200"/>
        <n v="45"/>
        <n v="178"/>
        <n v="146"/>
        <n v="172"/>
        <n v="107"/>
        <n v="87"/>
        <n v="173"/>
        <n v="49"/>
        <n v="47"/>
        <n v="161"/>
        <n v="129"/>
        <n v="175"/>
        <n v="89"/>
        <n v="79"/>
        <n v="120"/>
        <n v="26"/>
        <n v="156"/>
        <n v="81"/>
        <n v="90"/>
        <n v="198"/>
        <n v="44"/>
        <n v="123"/>
        <n v="193"/>
        <n v="114"/>
        <n v="59"/>
        <n v="98"/>
        <n v="139"/>
        <n v="109"/>
      </sharedItems>
    </cacheField>
    <cacheField name="Unit Price" numFmtId="0">
      <sharedItems containsSemiMixedTypes="0" containsString="0" containsNumber="1" containsInteger="1" minValue="30" maxValue="100" count="71">
        <n v="37"/>
        <n v="52"/>
        <n v="56"/>
        <n v="70"/>
        <n v="62"/>
        <n v="63"/>
        <n v="39"/>
        <n v="80"/>
        <n v="71"/>
        <n v="43"/>
        <n v="86"/>
        <n v="47"/>
        <n v="84"/>
        <n v="33"/>
        <n v="34"/>
        <n v="60"/>
        <n v="92"/>
        <n v="90"/>
        <n v="59"/>
        <n v="41"/>
        <n v="91"/>
        <n v="48"/>
        <n v="95"/>
        <n v="87"/>
        <n v="68"/>
        <n v="99"/>
        <n v="75"/>
        <n v="57"/>
        <n v="78"/>
        <n v="51"/>
        <n v="40"/>
        <n v="100"/>
        <n v="58"/>
        <n v="35"/>
        <n v="96"/>
        <n v="45"/>
        <n v="88"/>
        <n v="94"/>
        <n v="44"/>
        <n v="36"/>
        <n v="67"/>
        <n v="76"/>
        <n v="66"/>
        <n v="98"/>
        <n v="50"/>
        <n v="38"/>
        <n v="79"/>
        <n v="93"/>
        <n v="65"/>
        <n v="72"/>
        <n v="53"/>
        <n v="82"/>
        <n v="42"/>
        <n v="85"/>
        <n v="61"/>
        <n v="31"/>
        <n v="54"/>
        <n v="89"/>
        <n v="64"/>
        <n v="97"/>
        <n v="32"/>
        <n v="30"/>
        <n v="46"/>
        <n v="81"/>
        <n v="83"/>
        <n v="55"/>
        <n v="77"/>
        <n v="49"/>
        <n v="74"/>
        <n v="73"/>
        <n v="69"/>
      </sharedItems>
    </cacheField>
    <cacheField name="Revenue" numFmtId="0">
      <sharedItems containsSemiMixedTypes="0" containsString="0" containsNumber="1" containsInteger="1" minValue="700" maxValue="18600" count="468">
        <n v="6253"/>
        <n v="9620"/>
        <n v="7056"/>
        <n v="5460"/>
        <n v="9114"/>
        <n v="11592"/>
        <n v="2925"/>
        <n v="10000"/>
        <n v="11999"/>
        <n v="5440"/>
        <n v="3569"/>
        <n v="10836"/>
        <n v="8742"/>
        <n v="4788"/>
        <n v="3367"/>
        <n v="4521"/>
        <n v="4118"/>
        <n v="8400"/>
        <n v="3094"/>
        <n v="3360"/>
        <n v="4876"/>
        <n v="6864"/>
        <n v="17190"/>
        <n v="11656"/>
        <n v="7910"/>
        <n v="6132"/>
        <n v="6149"/>
        <n v="10030"/>
        <n v="5808"/>
        <n v="6552"/>
        <n v="7667"/>
        <n v="4823"/>
        <n v="2706"/>
        <n v="4512"/>
        <n v="13775"/>
        <n v="12354"/>
        <n v="6936"/>
        <n v="13860"/>
        <n v="7210"/>
        <n v="11830"/>
        <n v="6375"/>
        <n v="3393"/>
        <n v="9633"/>
        <n v="4758"/>
        <n v="5202"/>
        <n v="3120"/>
        <n v="9300"/>
        <n v="1680"/>
        <n v="7100"/>
        <n v="14256"/>
        <n v="2088"/>
        <n v="3740"/>
        <n v="5700"/>
        <n v="7700"/>
        <n v="11658"/>
        <n v="700"/>
        <n v="816"/>
        <n v="3990"/>
        <n v="9480"/>
        <n v="7640"/>
        <n v="11424"/>
        <n v="6930"/>
        <n v="6270"/>
        <n v="6968"/>
        <n v="17160"/>
        <n v="5358"/>
        <n v="1012"/>
        <n v="2580"/>
        <n v="1092"/>
        <n v="12144"/>
        <n v="3744"/>
        <n v="6324"/>
        <n v="10988"/>
        <n v="6006"/>
        <n v="13832"/>
        <n v="8464"/>
        <n v="8844"/>
        <n v="2346"/>
        <n v="825"/>
        <n v="6919"/>
        <n v="777"/>
        <n v="5978"/>
        <n v="9765"/>
        <n v="10716"/>
        <n v="7410"/>
        <n v="2360"/>
        <n v="9240"/>
        <n v="1750"/>
        <n v="6954"/>
        <n v="6069"/>
        <n v="5767"/>
        <n v="2175"/>
        <n v="10788"/>
        <n v="8928"/>
        <n v="6802"/>
        <n v="2470"/>
        <n v="5760"/>
        <n v="4104"/>
        <n v="3196"/>
        <n v="5520"/>
        <n v="15210"/>
        <n v="4130"/>
        <n v="5720"/>
        <n v="6480"/>
        <n v="4524"/>
        <n v="6254"/>
        <n v="14194"/>
        <n v="6440"/>
        <n v="8976"/>
        <n v="16318"/>
        <n v="7098"/>
        <n v="9840"/>
        <n v="3300"/>
        <n v="14112"/>
        <n v="2220"/>
        <n v="6720"/>
        <n v="7003"/>
        <n v="11532"/>
        <n v="11904"/>
        <n v="7600"/>
        <n v="2975"/>
        <n v="7076"/>
        <n v="15159"/>
        <n v="3286"/>
        <n v="10164"/>
        <n v="16236"/>
        <n v="4400"/>
        <n v="7614"/>
        <n v="7236"/>
        <n v="8245"/>
        <n v="8190"/>
        <n v="13528"/>
        <n v="6846"/>
        <n v="7296"/>
        <n v="7396"/>
        <n v="10064"/>
        <n v="16340"/>
        <n v="6501"/>
        <n v="5300"/>
        <n v="1817"/>
        <n v="13206"/>
        <n v="3936"/>
        <n v="9088"/>
        <n v="13248"/>
        <n v="5917"/>
        <n v="4690"/>
        <n v="16638"/>
        <n v="5766"/>
        <n v="3550"/>
        <n v="3145"/>
        <n v="1632"/>
        <n v="3090"/>
        <n v="3993"/>
        <n v="5320"/>
        <n v="10020"/>
        <n v="5612"/>
        <n v="10160"/>
        <n v="2376"/>
        <n v="1620"/>
        <n v="13330"/>
        <n v="8684"/>
        <n v="4047"/>
        <n v="3354"/>
        <n v="14949"/>
        <n v="6695"/>
        <n v="11600"/>
        <n v="13662"/>
        <n v="3528"/>
        <n v="8991"/>
        <n v="4368"/>
        <n v="4030"/>
        <n v="2272"/>
        <n v="12096"/>
        <n v="13920"/>
        <n v="5910"/>
        <n v="3750"/>
        <n v="1600"/>
        <n v="3984"/>
        <n v="6200"/>
        <n v="3234"/>
        <n v="4275"/>
        <n v="4482"/>
        <n v="3952"/>
        <n v="5865"/>
        <n v="9296"/>
        <n v="15834"/>
        <n v="6952"/>
        <n v="5940"/>
        <n v="6003"/>
        <n v="2850"/>
        <n v="11560"/>
        <n v="6831"/>
        <n v="7326"/>
        <n v="5495"/>
        <n v="7205"/>
        <n v="7905"/>
        <n v="1738"/>
        <n v="4588"/>
        <n v="2325"/>
        <n v="5069"/>
        <n v="4114"/>
        <n v="15190"/>
        <n v="2408"/>
        <n v="3192"/>
        <n v="6000"/>
        <n v="11800"/>
        <n v="9100"/>
        <n v="3366"/>
        <n v="4982"/>
        <n v="13552"/>
        <n v="5106"/>
        <n v="17100"/>
        <n v="6466"/>
        <n v="2622"/>
        <n v="2009"/>
        <n v="12462"/>
        <n v="4148"/>
        <n v="17226"/>
        <n v="10112"/>
        <n v="6016"/>
        <n v="8413"/>
        <n v="6355"/>
        <n v="8904"/>
        <n v="2573"/>
        <n v="6660"/>
        <n v="6256"/>
        <n v="9266"/>
        <n v="4416"/>
        <n v="10956"/>
        <n v="4710"/>
        <n v="9396"/>
        <n v="2583"/>
        <n v="7392"/>
        <n v="15957"/>
        <n v="6090"/>
        <n v="4746"/>
        <n v="4958"/>
        <n v="6644"/>
        <n v="3450"/>
        <n v="11400"/>
        <n v="6825"/>
        <n v="7215"/>
        <n v="9027"/>
        <n v="2254"/>
        <n v="3526"/>
        <n v="6572"/>
        <n v="9316"/>
        <n v="3168"/>
        <n v="8856"/>
        <n v="15312"/>
        <n v="9191"/>
        <n v="10260"/>
        <n v="7395"/>
        <n v="11169"/>
        <n v="2989"/>
        <n v="6179"/>
        <n v="7176"/>
        <n v="5846"/>
        <n v="9086"/>
        <n v="6320"/>
        <n v="11712"/>
        <n v="2914"/>
        <n v="4347"/>
        <n v="7038"/>
        <n v="7140"/>
        <n v="6030"/>
        <n v="2002"/>
        <n v="14440"/>
        <n v="10115"/>
        <n v="9165"/>
        <n v="18600"/>
        <n v="10656"/>
        <n v="14195"/>
        <n v="5580"/>
        <n v="3201"/>
        <n v="6580"/>
        <n v="3904"/>
        <n v="3150"/>
        <n v="4917"/>
        <n v="10502"/>
        <n v="3266"/>
        <n v="6486"/>
        <n v="14016"/>
        <n v="2550"/>
        <n v="2067"/>
        <n v="7245"/>
        <n v="13260"/>
        <n v="5040"/>
        <n v="4752"/>
        <n v="14448"/>
        <n v="4896"/>
        <n v="6165"/>
        <n v="2370"/>
        <n v="13800"/>
        <n v="12040"/>
        <n v="1776"/>
        <n v="11920"/>
        <n v="3888"/>
        <n v="1116"/>
        <n v="4494"/>
        <n v="5112"/>
        <n v="10200"/>
        <n v="3712"/>
        <n v="14287"/>
        <n v="5852"/>
        <n v="9595"/>
        <n v="7267"/>
        <n v="5408"/>
        <n v="15036"/>
        <n v="9628"/>
        <n v="2871"/>
        <n v="4686"/>
        <n v="1029"/>
        <n v="8475"/>
        <n v="2852"/>
        <n v="2160"/>
        <n v="15743"/>
        <n v="4214"/>
        <n v="3534"/>
        <n v="5270"/>
        <n v="7980"/>
        <n v="10057"/>
        <n v="9317"/>
        <n v="2618"/>
        <n v="12972"/>
        <n v="10920"/>
        <n v="6499"/>
        <n v="7912"/>
        <n v="6897"/>
        <n v="3666"/>
        <n v="15456"/>
        <n v="4672"/>
        <n v="3870"/>
        <n v="8260"/>
        <n v="2686"/>
        <n v="10150"/>
        <n v="10721"/>
        <n v="11616"/>
        <n v="13056"/>
        <n v="10360"/>
        <n v="10797"/>
        <n v="12936"/>
        <n v="4450"/>
        <n v="5250"/>
        <n v="6396"/>
        <n v="6790"/>
        <n v="5280"/>
        <n v="5180"/>
        <n v="10148"/>
        <n v="2704"/>
        <n v="989"/>
        <n v="2450"/>
        <n v="9900"/>
        <n v="8700"/>
        <n v="5609"/>
        <n v="6992"/>
        <n v="3978"/>
        <n v="9720"/>
        <n v="10087"/>
        <n v="832"/>
        <n v="10740"/>
        <n v="2508"/>
        <n v="7644"/>
        <n v="12986"/>
        <n v="9048"/>
        <n v="5022"/>
        <n v="2632"/>
        <n v="17444"/>
        <n v="6723"/>
        <n v="1634"/>
        <n v="5775"/>
        <n v="3016"/>
        <n v="14080"/>
        <n v="12168"/>
        <n v="8910"/>
        <n v="9652"/>
        <n v="11135"/>
        <n v="3795"/>
        <n v="5159"/>
        <n v="7488"/>
        <n v="5550"/>
        <n v="10725"/>
        <n v="2613"/>
        <n v="10050"/>
        <n v="3690"/>
        <n v="1716"/>
        <n v="6240"/>
        <n v="11200"/>
        <n v="10324"/>
        <n v="8740"/>
        <n v="2793"/>
        <n v="14418"/>
        <n v="5980"/>
        <n v="10187"/>
        <n v="12600"/>
        <n v="1456"/>
        <n v="14058"/>
        <n v="2480"/>
        <n v="17290"/>
        <n v="1624"/>
        <n v="18414"/>
        <n v="1575"/>
        <n v="2340"/>
        <n v="12408"/>
        <n v="8851"/>
        <n v="2904"/>
        <n v="12139"/>
        <n v="8664"/>
        <n v="3894"/>
        <n v="8174"/>
        <n v="1625"/>
        <n v="5513"/>
        <n v="1230"/>
        <n v="10962"/>
        <n v="2730"/>
        <n v="10143"/>
        <n v="3626"/>
        <n v="6642"/>
        <n v="1260"/>
        <n v="6812"/>
        <n v="16791"/>
        <n v="12045"/>
        <n v="3410"/>
        <n v="1435"/>
        <n v="1512"/>
        <n v="5244"/>
        <n v="2625"/>
        <n v="3400"/>
        <n v="11245"/>
        <n v="7800"/>
        <n v="5293"/>
        <n v="5671"/>
        <n v="13724"/>
        <n v="7200"/>
        <n v="12672"/>
        <n v="5605"/>
        <n v="3696"/>
        <n v="3000"/>
        <n v="5175"/>
        <n v="4736"/>
        <n v="11651"/>
        <n v="11484"/>
        <n v="1232"/>
        <n v="12573"/>
        <n v="9212"/>
        <n v="13483"/>
        <n v="7125"/>
        <n v="8850"/>
        <n v="1476"/>
        <n v="8673"/>
        <n v="9545"/>
        <n v="3317"/>
        <n v="6138"/>
        <n v="5123"/>
        <n v="10602"/>
        <n v="6784"/>
        <n v="5673"/>
        <n v="7957"/>
        <n v="6072"/>
        <n v="13728"/>
        <n v="1566"/>
        <n v="12250"/>
        <n v="13816"/>
        <n v="8745"/>
        <n v="10773"/>
        <n v="14157"/>
        <n v="7335"/>
        <n v="9259"/>
      </sharedItems>
    </cacheField>
    <cacheField name="Cost" numFmtId="0">
      <sharedItems containsSemiMixedTypes="0" containsString="0" containsNumber="1" containsInteger="1" minValue="200" maxValue="17893" count="496">
        <n v="6109"/>
        <n v="9344"/>
        <n v="6940"/>
        <n v="5270"/>
        <n v="8484"/>
        <n v="10681"/>
        <n v="2596"/>
        <n v="9442"/>
        <n v="11132"/>
        <n v="5121"/>
        <n v="2927"/>
        <n v="9967"/>
        <n v="8216"/>
        <n v="3804"/>
        <n v="3125"/>
        <n v="4045"/>
        <n v="3720"/>
        <n v="7816"/>
        <n v="2962"/>
        <n v="2508"/>
        <n v="4027"/>
        <n v="6305"/>
        <n v="16349"/>
        <n v="6070"/>
        <n v="10738"/>
        <n v="7084"/>
        <n v="5692"/>
        <n v="5698"/>
        <n v="9698"/>
        <n v="4961"/>
        <n v="6002"/>
        <n v="7239"/>
        <n v="4015"/>
        <n v="1804"/>
        <n v="4281"/>
        <n v="13229"/>
        <n v="11683"/>
        <n v="6168"/>
        <n v="13557"/>
        <n v="6472"/>
        <n v="11125"/>
        <n v="5762"/>
        <n v="2885"/>
        <n v="9128"/>
        <n v="4554"/>
        <n v="4383"/>
        <n v="2530"/>
        <n v="8304"/>
        <n v="1246"/>
        <n v="6122"/>
        <n v="13733"/>
        <n v="1362"/>
        <n v="3158"/>
        <n v="5460"/>
        <n v="7004"/>
        <n v="11241"/>
        <n v="399"/>
        <n v="625"/>
        <n v="3571"/>
        <n v="9029"/>
        <n v="6874"/>
        <n v="11271"/>
        <n v="6350"/>
        <n v="6098"/>
        <n v="6650"/>
        <n v="16882"/>
        <n v="4676"/>
        <n v="759"/>
        <n v="2263"/>
        <n v="200"/>
        <n v="11977"/>
        <n v="3616"/>
        <n v="5691"/>
        <n v="10320"/>
        <n v="5245"/>
        <n v="12975"/>
        <n v="7602"/>
        <n v="7892"/>
        <n v="1963"/>
        <n v="554"/>
        <n v="6201"/>
        <n v="411"/>
        <n v="5264"/>
        <n v="9453"/>
        <n v="10370"/>
        <n v="6762"/>
        <n v="1547"/>
        <n v="8506"/>
        <n v="762"/>
        <n v="6764"/>
        <n v="5409"/>
        <n v="5260"/>
        <n v="1669"/>
        <n v="10078"/>
        <n v="8522"/>
        <n v="6385"/>
        <n v="2346"/>
        <n v="5024"/>
        <n v="3980"/>
        <n v="2761"/>
        <n v="5324"/>
        <n v="14923"/>
        <n v="3508"/>
        <n v="5438"/>
        <n v="6058"/>
        <n v="4321"/>
        <n v="6063"/>
        <n v="14068"/>
        <n v="5672"/>
        <n v="8481"/>
        <n v="16184"/>
        <n v="6258"/>
        <n v="9559"/>
        <n v="2546"/>
        <n v="13191"/>
        <n v="1641"/>
        <n v="5945"/>
        <n v="6287"/>
        <n v="11244"/>
        <n v="10957"/>
        <n v="7232"/>
        <n v="2559"/>
        <n v="6946"/>
        <n v="14221"/>
        <n v="3024"/>
        <n v="9402"/>
        <n v="15272"/>
        <n v="3790"/>
        <n v="6768"/>
        <n v="6444"/>
        <n v="7830"/>
        <n v="7628"/>
        <n v="12954"/>
        <n v="6254"/>
        <n v="6710"/>
        <n v="7097"/>
        <n v="9579"/>
        <n v="15693"/>
        <n v="5742"/>
        <n v="5012"/>
        <n v="996"/>
        <n v="12682"/>
        <n v="3061"/>
        <n v="8309"/>
        <n v="12680"/>
        <n v="5120"/>
        <n v="4089"/>
        <n v="15866"/>
        <n v="4873"/>
        <n v="2664"/>
        <n v="2750"/>
        <n v="1275"/>
        <n v="2321"/>
        <n v="3558"/>
        <n v="4931"/>
        <n v="9815"/>
        <n v="5108"/>
        <n v="9663"/>
        <n v="1555"/>
        <n v="791"/>
        <n v="12372"/>
        <n v="8236"/>
        <n v="3935"/>
        <n v="2711"/>
        <n v="14591"/>
        <n v="5900"/>
        <n v="10669"/>
        <n v="13537"/>
        <n v="2825"/>
        <n v="8460"/>
        <n v="4044"/>
        <n v="3851"/>
        <n v="1893"/>
        <n v="11968"/>
        <n v="12958"/>
        <n v="5182"/>
        <n v="3456"/>
        <n v="1092"/>
        <n v="3416"/>
        <n v="5535"/>
        <n v="2816"/>
        <n v="3594"/>
        <n v="4257"/>
        <n v="11101"/>
        <n v="3499"/>
        <n v="5563"/>
        <n v="8358"/>
        <n v="15347"/>
        <n v="6584"/>
        <n v="5622"/>
        <n v="5715"/>
        <n v="2233"/>
        <n v="11228"/>
        <n v="3140"/>
        <n v="6346"/>
        <n v="6455"/>
        <n v="4797"/>
        <n v="6268"/>
        <n v="7373"/>
        <n v="5238"/>
        <n v="1624"/>
        <n v="4406"/>
        <n v="1819"/>
        <n v="4789"/>
        <n v="3259"/>
        <n v="14370"/>
        <n v="1902"/>
        <n v="2323"/>
        <n v="5700"/>
        <n v="11613"/>
        <n v="8308"/>
        <n v="2746"/>
        <n v="4071"/>
        <n v="12888"/>
        <n v="4599"/>
        <n v="16459"/>
        <n v="5708"/>
        <n v="5187"/>
        <n v="2187"/>
        <n v="1546"/>
        <n v="11990"/>
        <n v="3814"/>
        <n v="16296"/>
        <n v="9880"/>
        <n v="5584"/>
        <n v="8108"/>
        <n v="5943"/>
        <n v="8472"/>
        <n v="2342"/>
        <n v="6533"/>
        <n v="5880"/>
        <n v="8466"/>
        <n v="3451"/>
        <n v="10741"/>
        <n v="3870"/>
        <n v="9253"/>
        <n v="1634"/>
        <n v="6655"/>
        <n v="15820"/>
        <n v="5479"/>
        <n v="4081"/>
        <n v="4546"/>
        <n v="5207"/>
        <n v="5999"/>
        <n v="2721"/>
        <n v="10921"/>
        <n v="6669"/>
        <n v="6322"/>
        <n v="8266"/>
        <n v="1358"/>
        <n v="3338"/>
        <n v="6143"/>
        <n v="6614"/>
        <n v="8617"/>
        <n v="2566"/>
        <n v="8307"/>
        <n v="559"/>
        <n v="5696"/>
        <n v="9055"/>
        <n v="9751"/>
        <n v="7096"/>
        <n v="2298"/>
        <n v="10859"/>
        <n v="2109"/>
        <n v="5858"/>
        <n v="7027"/>
        <n v="5564"/>
        <n v="8571"/>
        <n v="5791"/>
        <n v="11384"/>
        <n v="2118"/>
        <n v="4150"/>
        <n v="6470"/>
        <n v="2510"/>
        <n v="5761"/>
        <n v="1799"/>
        <n v="13715"/>
        <n v="9439"/>
        <n v="8991"/>
        <n v="17713"/>
        <n v="10080"/>
        <n v="13969"/>
        <n v="5474"/>
        <n v="2338"/>
        <n v="6235"/>
        <n v="2906"/>
        <n v="2296"/>
        <n v="4038"/>
        <n v="10331"/>
        <n v="3128"/>
        <n v="5887"/>
        <n v="13349"/>
        <n v="1763"/>
        <n v="1292"/>
        <n v="6446"/>
        <n v="12511"/>
        <n v="4354"/>
        <n v="3961"/>
        <n v="7142"/>
        <n v="4234"/>
        <n v="14123"/>
        <n v="4343"/>
        <n v="5488"/>
        <n v="2085"/>
        <n v="13347"/>
        <n v="11776"/>
        <n v="934"/>
        <n v="11418"/>
        <n v="3586"/>
        <n v="722"/>
        <n v="3819"/>
        <n v="4366"/>
        <n v="9332"/>
        <n v="2829"/>
        <n v="13807"/>
        <n v="5625"/>
        <n v="8998"/>
        <n v="6918"/>
        <n v="4895"/>
        <n v="11411"/>
        <n v="14464"/>
        <n v="8995"/>
        <n v="1884"/>
        <n v="4069"/>
        <n v="928"/>
        <n v="7585"/>
        <n v="1968"/>
        <n v="2021"/>
        <n v="15243"/>
        <n v="3472"/>
        <n v="3418"/>
        <n v="4349"/>
        <n v="7854"/>
        <n v="9704"/>
        <n v="8810"/>
        <n v="2044"/>
        <n v="12020"/>
        <n v="9948"/>
        <n v="6364"/>
        <n v="7528"/>
        <n v="6781"/>
        <n v="2820"/>
        <n v="13054"/>
        <n v="14524"/>
        <n v="4176"/>
        <n v="3116"/>
        <n v="8104"/>
        <n v="9309"/>
        <n v="10605"/>
        <n v="11104"/>
        <n v="12450"/>
        <n v="1523"/>
        <n v="3681"/>
        <n v="10144"/>
        <n v="9960"/>
        <n v="12424"/>
        <n v="3682"/>
        <n v="2472"/>
        <n v="4487"/>
        <n v="5671"/>
        <n v="5905"/>
        <n v="4526"/>
        <n v="4192"/>
        <n v="9431"/>
        <n v="2306"/>
        <n v="208"/>
        <n v="2155"/>
        <n v="9648"/>
        <n v="8215"/>
        <n v="5456"/>
        <n v="6723"/>
        <n v="2999"/>
        <n v="9514"/>
        <n v="9510"/>
        <n v="393"/>
        <n v="9965"/>
        <n v="1658"/>
        <n v="6911"/>
        <n v="12529"/>
        <n v="8843"/>
        <n v="14012"/>
        <n v="4865"/>
        <n v="1883"/>
        <n v="16869"/>
        <n v="5867"/>
        <n v="1072"/>
        <n v="4817"/>
        <n v="2462"/>
        <n v="13097"/>
        <n v="11220"/>
        <n v="8114"/>
        <n v="8847"/>
        <n v="10866"/>
        <n v="2886"/>
        <n v="4460"/>
        <n v="6715"/>
        <n v="5313"/>
        <n v="2392"/>
        <n v="10089"/>
        <n v="2446"/>
        <n v="9886"/>
        <n v="2720"/>
        <n v="5338"/>
        <n v="1420"/>
        <n v="5749"/>
        <n v="10505"/>
        <n v="12229"/>
        <n v="9788"/>
        <n v="8626"/>
        <n v="2329"/>
        <n v="13873"/>
        <n v="6536"/>
        <n v="5744"/>
        <n v="9841"/>
        <n v="12253"/>
        <n v="509"/>
        <n v="13421"/>
        <n v="1663"/>
        <n v="16784"/>
        <n v="949"/>
        <n v="17893"/>
        <n v="1390"/>
        <n v="2071"/>
        <n v="11771"/>
        <n v="8649"/>
        <n v="2671"/>
        <n v="11521"/>
        <n v="7705"/>
        <n v="3756"/>
        <n v="7458"/>
        <n v="1472"/>
        <n v="5243"/>
        <n v="486"/>
        <n v="10831"/>
        <n v="2105"/>
        <n v="9430"/>
        <n v="3009"/>
        <n v="5849"/>
        <n v="498"/>
        <n v="6233"/>
        <n v="15924"/>
        <n v="11382"/>
        <n v="2919"/>
        <n v="5830"/>
        <n v="512"/>
        <n v="2502"/>
        <n v="676"/>
        <n v="4930"/>
        <n v="3657"/>
        <n v="2410"/>
        <n v="12738"/>
        <n v="2501"/>
        <n v="11038"/>
        <n v="7522"/>
        <n v="4824"/>
        <n v="4058"/>
        <n v="5168"/>
        <n v="13384"/>
        <n v="6405"/>
        <n v="3783"/>
        <n v="12126"/>
        <n v="5407"/>
        <n v="2756"/>
        <n v="2848"/>
        <n v="4718"/>
        <n v="3972"/>
        <n v="11017"/>
        <n v="11266"/>
        <n v="968"/>
        <n v="11754"/>
        <n v="8898"/>
        <n v="12705"/>
        <n v="6407"/>
        <n v="8698"/>
        <n v="862"/>
        <n v="7743"/>
        <n v="9105"/>
        <n v="2947"/>
        <n v="5256"/>
        <n v="4514"/>
        <n v="9903"/>
        <n v="6497"/>
        <n v="5490"/>
        <n v="7073"/>
        <n v="5318"/>
        <n v="13464"/>
        <n v="1169"/>
        <n v="12029"/>
        <n v="4547"/>
        <n v="13185"/>
        <n v="7982"/>
        <n v="10100"/>
        <n v="13541"/>
        <n v="6923"/>
        <n v="10082"/>
        <n v="8736"/>
      </sharedItems>
    </cacheField>
    <cacheField name="Profit" numFmtId="0">
      <sharedItems containsSemiMixedTypes="0" containsString="0" containsNumber="1" containsInteger="1" minValue="101" maxValue="998" count="384">
        <n v="144"/>
        <n v="276"/>
        <n v="116"/>
        <n v="190"/>
        <n v="630"/>
        <n v="911"/>
        <n v="329"/>
        <n v="558"/>
        <n v="867"/>
        <n v="319"/>
        <n v="642"/>
        <n v="869"/>
        <n v="526"/>
        <n v="984"/>
        <n v="242"/>
        <n v="476"/>
        <n v="398"/>
        <n v="584"/>
        <n v="132"/>
        <n v="852"/>
        <n v="849"/>
        <n v="559"/>
        <n v="841"/>
        <n v="986"/>
        <n v="918"/>
        <n v="826"/>
        <n v="440"/>
        <n v="451"/>
        <n v="332"/>
        <n v="847"/>
        <n v="550"/>
        <n v="428"/>
        <n v="808"/>
        <n v="902"/>
        <n v="231"/>
        <n v="546"/>
        <n v="671"/>
        <n v="768"/>
        <n v="303"/>
        <n v="738"/>
        <n v="705"/>
        <n v="613"/>
        <n v="508"/>
        <n v="505"/>
        <n v="204"/>
        <n v="819"/>
        <n v="590"/>
        <n v="996"/>
        <n v="434"/>
        <n v="978"/>
        <n v="523"/>
        <n v="726"/>
        <n v="582"/>
        <n v="240"/>
        <n v="696"/>
        <n v="417"/>
        <n v="301"/>
        <n v="191"/>
        <n v="419"/>
        <n v="766"/>
        <n v="153"/>
        <n v="580"/>
        <n v="172"/>
        <n v="318"/>
        <n v="278"/>
        <n v="682"/>
        <n v="253"/>
        <n v="317"/>
        <n v="892"/>
        <n v="167"/>
        <n v="128"/>
        <n v="633"/>
        <n v="668"/>
        <n v="761"/>
        <n v="857"/>
        <n v="862"/>
        <n v="952"/>
        <n v="383"/>
        <n v="271"/>
        <n v="718"/>
        <n v="366"/>
        <n v="714"/>
        <n v="312"/>
        <n v="346"/>
        <n v="648"/>
        <n v="813"/>
        <n v="734"/>
        <n v="988"/>
        <n v="660"/>
        <n v="507"/>
        <n v="506"/>
        <n v="710"/>
        <n v="406"/>
        <n v="124"/>
        <n v="736"/>
        <n v="435"/>
        <n v="196"/>
        <n v="287"/>
        <n v="622"/>
        <n v="282"/>
        <n v="422"/>
        <n v="203"/>
        <n v="126"/>
        <n v="495"/>
        <n v="134"/>
        <n v="840"/>
        <n v="281"/>
        <n v="754"/>
        <n v="921"/>
        <n v="579"/>
        <n v="775"/>
        <n v="716"/>
        <n v="288"/>
        <n v="947"/>
        <n v="368"/>
        <n v="416"/>
        <n v="130"/>
        <n v="938"/>
        <n v="262"/>
        <n v="762"/>
        <n v="964"/>
        <n v="610"/>
        <n v="846"/>
        <n v="792"/>
        <n v="415"/>
        <n v="562"/>
        <n v="574"/>
        <n v="592"/>
        <n v="586"/>
        <n v="299"/>
        <n v="485"/>
        <n v="647"/>
        <n v="759"/>
        <n v="821"/>
        <n v="524"/>
        <n v="875"/>
        <n v="779"/>
        <n v="568"/>
        <n v="797"/>
        <n v="601"/>
        <n v="772"/>
        <n v="893"/>
        <n v="886"/>
        <n v="395"/>
        <n v="357"/>
        <n v="769"/>
        <n v="389"/>
        <n v="205"/>
        <n v="504"/>
        <n v="497"/>
        <n v="829"/>
        <n v="958"/>
        <n v="448"/>
        <n v="112"/>
        <n v="643"/>
        <n v="358"/>
        <n v="795"/>
        <n v="931"/>
        <n v="125"/>
        <n v="703"/>
        <n v="531"/>
        <n v="324"/>
        <n v="179"/>
        <n v="379"/>
        <n v="962"/>
        <n v="728"/>
        <n v="294"/>
        <n v="665"/>
        <n v="418"/>
        <n v="681"/>
        <n v="225"/>
        <n v="323"/>
        <n v="453"/>
        <n v="302"/>
        <n v="487"/>
        <n v="617"/>
        <n v="871"/>
        <n v="698"/>
        <n v="937"/>
        <n v="532"/>
        <n v="528"/>
        <n v="114"/>
        <n v="182"/>
        <n v="280"/>
        <n v="855"/>
        <n v="820"/>
        <n v="915"/>
        <n v="300"/>
        <n v="187"/>
        <n v="620"/>
        <n v="664"/>
        <n v="641"/>
        <n v="758"/>
        <n v="791"/>
        <n v="463"/>
        <n v="472"/>
        <n v="334"/>
        <n v="930"/>
        <n v="232"/>
        <n v="432"/>
        <n v="305"/>
        <n v="412"/>
        <n v="127"/>
        <n v="376"/>
        <n v="800"/>
        <n v="965"/>
        <n v="215"/>
        <n v="143"/>
        <n v="949"/>
        <n v="737"/>
        <n v="137"/>
        <n v="611"/>
        <n v="942"/>
        <n v="645"/>
        <n v="729"/>
        <n v="479"/>
        <n v="156"/>
        <n v="896"/>
        <n v="188"/>
        <n v="429"/>
        <n v="699"/>
        <n v="602"/>
        <n v="549"/>
        <n v="218"/>
        <n v="628"/>
        <n v="136"/>
        <n v="509"/>
        <n v="110"/>
        <n v="310"/>
        <n v="880"/>
        <n v="321"/>
        <n v="149"/>
        <n v="515"/>
        <n v="529"/>
        <n v="328"/>
        <n v="796"/>
        <n v="197"/>
        <n v="692"/>
        <n v="670"/>
        <n v="686"/>
        <n v="269"/>
        <n v="725"/>
        <n v="676"/>
        <n v="174"/>
        <n v="887"/>
        <n v="576"/>
        <n v="226"/>
        <n v="106"/>
        <n v="863"/>
        <n v="345"/>
        <n v="998"/>
        <n v="854"/>
        <n v="879"/>
        <n v="171"/>
        <n v="138"/>
        <n v="599"/>
        <n v="667"/>
        <n v="787"/>
        <n v="799"/>
        <n v="749"/>
        <n v="254"/>
        <n v="518"/>
        <n v="325"/>
        <n v="553"/>
        <n v="677"/>
        <n v="285"/>
        <n v="264"/>
        <n v="842"/>
        <n v="502"/>
        <n v="394"/>
        <n v="675"/>
        <n v="746"/>
        <n v="868"/>
        <n v="883"/>
        <n v="480"/>
        <n v="227"/>
        <n v="597"/>
        <n v="349"/>
        <n v="513"/>
        <n v="685"/>
        <n v="572"/>
        <n v="987"/>
        <n v="101"/>
        <n v="890"/>
        <n v="884"/>
        <n v="139"/>
        <n v="500"/>
        <n v="742"/>
        <n v="353"/>
        <n v="972"/>
        <n v="135"/>
        <n v="384"/>
        <n v="721"/>
        <n v="932"/>
        <n v="496"/>
        <n v="723"/>
        <n v="512"/>
        <n v="606"/>
        <n v="853"/>
        <n v="467"/>
        <n v="216"/>
        <n v="837"/>
        <n v="678"/>
        <n v="763"/>
        <n v="885"/>
        <n v="717"/>
        <n v="781"/>
        <n v="295"/>
        <n v="252"/>
        <n v="979"/>
        <n v="206"/>
        <n v="577"/>
        <n v="439"/>
        <n v="850"/>
        <n v="733"/>
        <n v="457"/>
        <n v="157"/>
        <n v="575"/>
        <n v="856"/>
        <n v="554"/>
        <n v="983"/>
        <n v="948"/>
        <n v="805"/>
        <n v="909"/>
        <n v="773"/>
        <n v="237"/>
        <n v="583"/>
        <n v="636"/>
        <n v="164"/>
        <n v="970"/>
        <n v="470"/>
        <n v="296"/>
        <n v="491"/>
        <n v="695"/>
        <n v="757"/>
        <n v="536"/>
        <n v="464"/>
        <n v="545"/>
        <n v="236"/>
        <n v="347"/>
        <n v="637"/>
        <n v="817"/>
        <n v="521"/>
        <n v="185"/>
        <n v="202"/>
        <n v="233"/>
        <n v="618"/>
        <n v="959"/>
        <n v="270"/>
        <n v="744"/>
        <n v="131"/>
        <n v="625"/>
        <n v="713"/>
        <n v="793"/>
        <n v="663"/>
        <n v="410"/>
        <n v="923"/>
        <n v="666"/>
        <n v="836"/>
        <n v="314"/>
        <n v="468"/>
        <n v="899"/>
        <n v="207"/>
        <n v="469"/>
        <n v="982"/>
        <n v="503"/>
        <n v="340"/>
        <n v="198"/>
        <n v="940"/>
        <n v="152"/>
        <n v="764"/>
        <n v="634"/>
        <n v="778"/>
        <n v="614"/>
        <n v="370"/>
        <n v="882"/>
        <n v="609"/>
        <n v="183"/>
        <n v="397"/>
        <n v="221"/>
        <n v="631"/>
        <n v="673"/>
        <n v="616"/>
        <n v="178"/>
      </sharedItems>
    </cacheField>
    <cacheField name="Months (Date)" numFmtId="0" databaseField="0">
      <fieldGroup base="0">
        <rangePr groupBy="months" startDate="2024-01-14T00:00:00" endDate="2025-05-30T00:00:00"/>
        <groupItems count="14">
          <s v="&lt;1/14/2024"/>
          <s v="Jan"/>
          <s v="Feb"/>
          <s v="Mar"/>
          <s v="Apr"/>
          <s v="May"/>
          <s v="Jun"/>
          <s v="Jul"/>
          <s v="Aug"/>
          <s v="Sep"/>
          <s v="Oct"/>
          <s v="Nov"/>
          <s v="Dec"/>
          <s v="&gt;5/30/2025"/>
        </groupItems>
      </fieldGroup>
    </cacheField>
    <cacheField name="Quarters (Date)" numFmtId="0" databaseField="0">
      <fieldGroup base="0">
        <rangePr groupBy="quarters" startDate="2024-01-14T00:00:00" endDate="2025-05-30T00:00:00"/>
        <groupItems count="6">
          <s v="&lt;1/14/2024"/>
          <s v="Qtr1"/>
          <s v="Qtr2"/>
          <s v="Qtr3"/>
          <s v="Qtr4"/>
          <s v="&gt;5/30/2025"/>
        </groupItems>
      </fieldGroup>
    </cacheField>
    <cacheField name="Years (Date)" numFmtId="0" databaseField="0">
      <fieldGroup base="0">
        <rangePr groupBy="years" startDate="2024-01-14T00:00:00" endDate="2025-05-30T00:00:00"/>
        <groupItems count="4">
          <s v="&lt;1/14/2024"/>
          <s v="2024"/>
          <s v="2025"/>
          <s v="&gt;5/30/2025"/>
        </groupItems>
      </fieldGroup>
    </cacheField>
  </cacheFields>
  <extLst>
    <ext xmlns:x14="http://schemas.microsoft.com/office/spreadsheetml/2009/9/main" uri="{725AE2AE-9491-48be-B2B4-4EB974FC3084}">
      <x14:pivotCacheDefinition pivotCacheId="68143723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2">
  <r>
    <x v="0"/>
    <x v="0"/>
    <x v="0"/>
    <x v="0"/>
    <x v="0"/>
    <x v="0"/>
    <x v="0"/>
    <x v="0"/>
    <x v="0"/>
    <x v="0"/>
    <x v="0"/>
    <x v="0"/>
    <x v="0"/>
    <x v="0"/>
  </r>
  <r>
    <x v="1"/>
    <x v="1"/>
    <x v="1"/>
    <x v="1"/>
    <x v="1"/>
    <x v="1"/>
    <x v="1"/>
    <x v="1"/>
    <x v="1"/>
    <x v="1"/>
    <x v="1"/>
    <x v="1"/>
    <x v="1"/>
    <x v="1"/>
  </r>
  <r>
    <x v="2"/>
    <x v="2"/>
    <x v="2"/>
    <x v="2"/>
    <x v="2"/>
    <x v="1"/>
    <x v="1"/>
    <x v="2"/>
    <x v="2"/>
    <x v="2"/>
    <x v="2"/>
    <x v="2"/>
    <x v="2"/>
    <x v="2"/>
  </r>
  <r>
    <x v="3"/>
    <x v="2"/>
    <x v="2"/>
    <x v="2"/>
    <x v="2"/>
    <x v="1"/>
    <x v="1"/>
    <x v="2"/>
    <x v="2"/>
    <x v="3"/>
    <x v="3"/>
    <x v="3"/>
    <x v="3"/>
    <x v="3"/>
  </r>
  <r>
    <x v="4"/>
    <x v="0"/>
    <x v="0"/>
    <x v="3"/>
    <x v="3"/>
    <x v="2"/>
    <x v="2"/>
    <x v="3"/>
    <x v="3"/>
    <x v="4"/>
    <x v="4"/>
    <x v="4"/>
    <x v="4"/>
    <x v="4"/>
  </r>
  <r>
    <x v="5"/>
    <x v="1"/>
    <x v="1"/>
    <x v="3"/>
    <x v="3"/>
    <x v="2"/>
    <x v="2"/>
    <x v="2"/>
    <x v="2"/>
    <x v="5"/>
    <x v="5"/>
    <x v="5"/>
    <x v="5"/>
    <x v="5"/>
  </r>
  <r>
    <x v="6"/>
    <x v="2"/>
    <x v="2"/>
    <x v="3"/>
    <x v="3"/>
    <x v="2"/>
    <x v="2"/>
    <x v="3"/>
    <x v="3"/>
    <x v="6"/>
    <x v="6"/>
    <x v="6"/>
    <x v="6"/>
    <x v="6"/>
  </r>
  <r>
    <x v="7"/>
    <x v="1"/>
    <x v="1"/>
    <x v="3"/>
    <x v="3"/>
    <x v="2"/>
    <x v="2"/>
    <x v="3"/>
    <x v="3"/>
    <x v="7"/>
    <x v="7"/>
    <x v="7"/>
    <x v="7"/>
    <x v="7"/>
  </r>
  <r>
    <x v="8"/>
    <x v="3"/>
    <x v="3"/>
    <x v="0"/>
    <x v="0"/>
    <x v="0"/>
    <x v="0"/>
    <x v="2"/>
    <x v="2"/>
    <x v="0"/>
    <x v="8"/>
    <x v="8"/>
    <x v="8"/>
    <x v="8"/>
  </r>
  <r>
    <x v="9"/>
    <x v="0"/>
    <x v="0"/>
    <x v="0"/>
    <x v="0"/>
    <x v="0"/>
    <x v="0"/>
    <x v="4"/>
    <x v="4"/>
    <x v="8"/>
    <x v="7"/>
    <x v="9"/>
    <x v="9"/>
    <x v="9"/>
  </r>
  <r>
    <x v="10"/>
    <x v="3"/>
    <x v="3"/>
    <x v="3"/>
    <x v="3"/>
    <x v="2"/>
    <x v="2"/>
    <x v="1"/>
    <x v="1"/>
    <x v="9"/>
    <x v="9"/>
    <x v="10"/>
    <x v="10"/>
    <x v="10"/>
  </r>
  <r>
    <x v="11"/>
    <x v="0"/>
    <x v="0"/>
    <x v="4"/>
    <x v="4"/>
    <x v="3"/>
    <x v="3"/>
    <x v="2"/>
    <x v="2"/>
    <x v="2"/>
    <x v="10"/>
    <x v="11"/>
    <x v="11"/>
    <x v="11"/>
  </r>
  <r>
    <x v="12"/>
    <x v="3"/>
    <x v="3"/>
    <x v="2"/>
    <x v="2"/>
    <x v="1"/>
    <x v="1"/>
    <x v="0"/>
    <x v="0"/>
    <x v="10"/>
    <x v="11"/>
    <x v="12"/>
    <x v="12"/>
    <x v="12"/>
  </r>
  <r>
    <x v="13"/>
    <x v="3"/>
    <x v="3"/>
    <x v="5"/>
    <x v="5"/>
    <x v="3"/>
    <x v="3"/>
    <x v="4"/>
    <x v="4"/>
    <x v="11"/>
    <x v="12"/>
    <x v="13"/>
    <x v="13"/>
    <x v="13"/>
  </r>
  <r>
    <x v="14"/>
    <x v="0"/>
    <x v="0"/>
    <x v="1"/>
    <x v="1"/>
    <x v="1"/>
    <x v="1"/>
    <x v="1"/>
    <x v="1"/>
    <x v="12"/>
    <x v="0"/>
    <x v="14"/>
    <x v="14"/>
    <x v="14"/>
  </r>
  <r>
    <x v="15"/>
    <x v="2"/>
    <x v="2"/>
    <x v="3"/>
    <x v="3"/>
    <x v="2"/>
    <x v="2"/>
    <x v="1"/>
    <x v="1"/>
    <x v="13"/>
    <x v="13"/>
    <x v="15"/>
    <x v="15"/>
    <x v="15"/>
  </r>
  <r>
    <x v="16"/>
    <x v="0"/>
    <x v="0"/>
    <x v="4"/>
    <x v="4"/>
    <x v="3"/>
    <x v="3"/>
    <x v="3"/>
    <x v="3"/>
    <x v="14"/>
    <x v="8"/>
    <x v="16"/>
    <x v="16"/>
    <x v="16"/>
  </r>
  <r>
    <x v="17"/>
    <x v="3"/>
    <x v="3"/>
    <x v="6"/>
    <x v="6"/>
    <x v="2"/>
    <x v="2"/>
    <x v="0"/>
    <x v="0"/>
    <x v="15"/>
    <x v="12"/>
    <x v="17"/>
    <x v="17"/>
    <x v="17"/>
  </r>
  <r>
    <x v="18"/>
    <x v="0"/>
    <x v="0"/>
    <x v="2"/>
    <x v="2"/>
    <x v="1"/>
    <x v="1"/>
    <x v="1"/>
    <x v="1"/>
    <x v="12"/>
    <x v="14"/>
    <x v="18"/>
    <x v="18"/>
    <x v="18"/>
  </r>
  <r>
    <x v="19"/>
    <x v="3"/>
    <x v="3"/>
    <x v="1"/>
    <x v="1"/>
    <x v="1"/>
    <x v="1"/>
    <x v="2"/>
    <x v="2"/>
    <x v="16"/>
    <x v="15"/>
    <x v="19"/>
    <x v="19"/>
    <x v="19"/>
  </r>
  <r>
    <x v="20"/>
    <x v="1"/>
    <x v="1"/>
    <x v="7"/>
    <x v="7"/>
    <x v="0"/>
    <x v="0"/>
    <x v="4"/>
    <x v="4"/>
    <x v="17"/>
    <x v="16"/>
    <x v="20"/>
    <x v="20"/>
    <x v="20"/>
  </r>
  <r>
    <x v="21"/>
    <x v="3"/>
    <x v="3"/>
    <x v="7"/>
    <x v="7"/>
    <x v="0"/>
    <x v="0"/>
    <x v="4"/>
    <x v="4"/>
    <x v="18"/>
    <x v="6"/>
    <x v="21"/>
    <x v="21"/>
    <x v="21"/>
  </r>
  <r>
    <x v="22"/>
    <x v="3"/>
    <x v="3"/>
    <x v="7"/>
    <x v="7"/>
    <x v="0"/>
    <x v="0"/>
    <x v="2"/>
    <x v="2"/>
    <x v="19"/>
    <x v="17"/>
    <x v="22"/>
    <x v="22"/>
    <x v="22"/>
  </r>
  <r>
    <x v="23"/>
    <x v="3"/>
    <x v="3"/>
    <x v="3"/>
    <x v="3"/>
    <x v="2"/>
    <x v="2"/>
    <x v="1"/>
    <x v="1"/>
    <x v="20"/>
    <x v="12"/>
    <x v="2"/>
    <x v="23"/>
    <x v="23"/>
  </r>
  <r>
    <x v="24"/>
    <x v="2"/>
    <x v="2"/>
    <x v="1"/>
    <x v="1"/>
    <x v="1"/>
    <x v="1"/>
    <x v="2"/>
    <x v="2"/>
    <x v="21"/>
    <x v="4"/>
    <x v="23"/>
    <x v="24"/>
    <x v="24"/>
  </r>
  <r>
    <x v="25"/>
    <x v="1"/>
    <x v="1"/>
    <x v="2"/>
    <x v="2"/>
    <x v="1"/>
    <x v="1"/>
    <x v="1"/>
    <x v="1"/>
    <x v="22"/>
    <x v="3"/>
    <x v="24"/>
    <x v="25"/>
    <x v="25"/>
  </r>
  <r>
    <x v="26"/>
    <x v="1"/>
    <x v="1"/>
    <x v="5"/>
    <x v="5"/>
    <x v="3"/>
    <x v="3"/>
    <x v="2"/>
    <x v="2"/>
    <x v="23"/>
    <x v="12"/>
    <x v="25"/>
    <x v="26"/>
    <x v="26"/>
  </r>
  <r>
    <x v="27"/>
    <x v="3"/>
    <x v="3"/>
    <x v="5"/>
    <x v="5"/>
    <x v="3"/>
    <x v="3"/>
    <x v="0"/>
    <x v="0"/>
    <x v="24"/>
    <x v="9"/>
    <x v="26"/>
    <x v="27"/>
    <x v="27"/>
  </r>
  <r>
    <x v="28"/>
    <x v="2"/>
    <x v="2"/>
    <x v="5"/>
    <x v="5"/>
    <x v="3"/>
    <x v="3"/>
    <x v="2"/>
    <x v="2"/>
    <x v="25"/>
    <x v="18"/>
    <x v="27"/>
    <x v="28"/>
    <x v="28"/>
  </r>
  <r>
    <x v="29"/>
    <x v="1"/>
    <x v="1"/>
    <x v="3"/>
    <x v="3"/>
    <x v="2"/>
    <x v="2"/>
    <x v="3"/>
    <x v="3"/>
    <x v="18"/>
    <x v="13"/>
    <x v="28"/>
    <x v="29"/>
    <x v="29"/>
  </r>
  <r>
    <x v="30"/>
    <x v="0"/>
    <x v="0"/>
    <x v="7"/>
    <x v="7"/>
    <x v="0"/>
    <x v="0"/>
    <x v="4"/>
    <x v="4"/>
    <x v="2"/>
    <x v="1"/>
    <x v="29"/>
    <x v="30"/>
    <x v="30"/>
  </r>
  <r>
    <x v="31"/>
    <x v="3"/>
    <x v="3"/>
    <x v="0"/>
    <x v="0"/>
    <x v="0"/>
    <x v="0"/>
    <x v="0"/>
    <x v="0"/>
    <x v="26"/>
    <x v="19"/>
    <x v="30"/>
    <x v="31"/>
    <x v="31"/>
  </r>
  <r>
    <x v="32"/>
    <x v="2"/>
    <x v="2"/>
    <x v="5"/>
    <x v="5"/>
    <x v="3"/>
    <x v="3"/>
    <x v="3"/>
    <x v="3"/>
    <x v="17"/>
    <x v="20"/>
    <x v="31"/>
    <x v="32"/>
    <x v="32"/>
  </r>
  <r>
    <x v="33"/>
    <x v="3"/>
    <x v="3"/>
    <x v="2"/>
    <x v="2"/>
    <x v="1"/>
    <x v="1"/>
    <x v="0"/>
    <x v="0"/>
    <x v="27"/>
    <x v="19"/>
    <x v="32"/>
    <x v="33"/>
    <x v="33"/>
  </r>
  <r>
    <x v="34"/>
    <x v="0"/>
    <x v="0"/>
    <x v="7"/>
    <x v="7"/>
    <x v="0"/>
    <x v="0"/>
    <x v="3"/>
    <x v="3"/>
    <x v="28"/>
    <x v="21"/>
    <x v="33"/>
    <x v="34"/>
    <x v="34"/>
  </r>
  <r>
    <x v="35"/>
    <x v="1"/>
    <x v="1"/>
    <x v="5"/>
    <x v="5"/>
    <x v="3"/>
    <x v="3"/>
    <x v="0"/>
    <x v="0"/>
    <x v="29"/>
    <x v="22"/>
    <x v="34"/>
    <x v="35"/>
    <x v="35"/>
  </r>
  <r>
    <x v="36"/>
    <x v="0"/>
    <x v="0"/>
    <x v="2"/>
    <x v="2"/>
    <x v="1"/>
    <x v="1"/>
    <x v="3"/>
    <x v="3"/>
    <x v="30"/>
    <x v="23"/>
    <x v="35"/>
    <x v="36"/>
    <x v="36"/>
  </r>
  <r>
    <x v="37"/>
    <x v="1"/>
    <x v="1"/>
    <x v="3"/>
    <x v="3"/>
    <x v="2"/>
    <x v="2"/>
    <x v="3"/>
    <x v="3"/>
    <x v="31"/>
    <x v="24"/>
    <x v="36"/>
    <x v="37"/>
    <x v="37"/>
  </r>
  <r>
    <x v="38"/>
    <x v="0"/>
    <x v="0"/>
    <x v="6"/>
    <x v="6"/>
    <x v="2"/>
    <x v="2"/>
    <x v="4"/>
    <x v="4"/>
    <x v="32"/>
    <x v="25"/>
    <x v="37"/>
    <x v="38"/>
    <x v="38"/>
  </r>
  <r>
    <x v="39"/>
    <x v="1"/>
    <x v="1"/>
    <x v="0"/>
    <x v="0"/>
    <x v="0"/>
    <x v="0"/>
    <x v="3"/>
    <x v="3"/>
    <x v="33"/>
    <x v="3"/>
    <x v="38"/>
    <x v="39"/>
    <x v="39"/>
  </r>
  <r>
    <x v="40"/>
    <x v="1"/>
    <x v="1"/>
    <x v="6"/>
    <x v="6"/>
    <x v="2"/>
    <x v="2"/>
    <x v="0"/>
    <x v="0"/>
    <x v="0"/>
    <x v="3"/>
    <x v="39"/>
    <x v="40"/>
    <x v="40"/>
  </r>
  <r>
    <x v="41"/>
    <x v="3"/>
    <x v="3"/>
    <x v="5"/>
    <x v="5"/>
    <x v="3"/>
    <x v="3"/>
    <x v="0"/>
    <x v="0"/>
    <x v="34"/>
    <x v="26"/>
    <x v="40"/>
    <x v="41"/>
    <x v="41"/>
  </r>
  <r>
    <x v="42"/>
    <x v="1"/>
    <x v="1"/>
    <x v="7"/>
    <x v="7"/>
    <x v="0"/>
    <x v="0"/>
    <x v="2"/>
    <x v="2"/>
    <x v="35"/>
    <x v="23"/>
    <x v="41"/>
    <x v="42"/>
    <x v="42"/>
  </r>
  <r>
    <x v="43"/>
    <x v="0"/>
    <x v="0"/>
    <x v="1"/>
    <x v="1"/>
    <x v="1"/>
    <x v="1"/>
    <x v="0"/>
    <x v="0"/>
    <x v="0"/>
    <x v="27"/>
    <x v="42"/>
    <x v="43"/>
    <x v="43"/>
  </r>
  <r>
    <x v="44"/>
    <x v="0"/>
    <x v="0"/>
    <x v="6"/>
    <x v="6"/>
    <x v="2"/>
    <x v="2"/>
    <x v="0"/>
    <x v="0"/>
    <x v="36"/>
    <x v="28"/>
    <x v="43"/>
    <x v="44"/>
    <x v="44"/>
  </r>
  <r>
    <x v="45"/>
    <x v="1"/>
    <x v="1"/>
    <x v="5"/>
    <x v="5"/>
    <x v="3"/>
    <x v="3"/>
    <x v="0"/>
    <x v="0"/>
    <x v="31"/>
    <x v="29"/>
    <x v="44"/>
    <x v="45"/>
    <x v="45"/>
  </r>
  <r>
    <x v="46"/>
    <x v="0"/>
    <x v="0"/>
    <x v="1"/>
    <x v="1"/>
    <x v="1"/>
    <x v="1"/>
    <x v="4"/>
    <x v="4"/>
    <x v="35"/>
    <x v="7"/>
    <x v="45"/>
    <x v="46"/>
    <x v="46"/>
  </r>
  <r>
    <x v="47"/>
    <x v="1"/>
    <x v="1"/>
    <x v="5"/>
    <x v="5"/>
    <x v="3"/>
    <x v="3"/>
    <x v="2"/>
    <x v="2"/>
    <x v="37"/>
    <x v="15"/>
    <x v="46"/>
    <x v="47"/>
    <x v="47"/>
  </r>
  <r>
    <x v="48"/>
    <x v="1"/>
    <x v="1"/>
    <x v="3"/>
    <x v="3"/>
    <x v="2"/>
    <x v="2"/>
    <x v="0"/>
    <x v="0"/>
    <x v="38"/>
    <x v="30"/>
    <x v="47"/>
    <x v="48"/>
    <x v="48"/>
  </r>
  <r>
    <x v="49"/>
    <x v="2"/>
    <x v="2"/>
    <x v="7"/>
    <x v="7"/>
    <x v="0"/>
    <x v="0"/>
    <x v="0"/>
    <x v="0"/>
    <x v="39"/>
    <x v="31"/>
    <x v="48"/>
    <x v="49"/>
    <x v="49"/>
  </r>
  <r>
    <x v="50"/>
    <x v="2"/>
    <x v="2"/>
    <x v="5"/>
    <x v="5"/>
    <x v="3"/>
    <x v="3"/>
    <x v="0"/>
    <x v="0"/>
    <x v="40"/>
    <x v="25"/>
    <x v="49"/>
    <x v="50"/>
    <x v="50"/>
  </r>
  <r>
    <x v="51"/>
    <x v="3"/>
    <x v="3"/>
    <x v="6"/>
    <x v="6"/>
    <x v="2"/>
    <x v="2"/>
    <x v="2"/>
    <x v="2"/>
    <x v="41"/>
    <x v="32"/>
    <x v="50"/>
    <x v="51"/>
    <x v="51"/>
  </r>
  <r>
    <x v="52"/>
    <x v="0"/>
    <x v="0"/>
    <x v="6"/>
    <x v="6"/>
    <x v="2"/>
    <x v="2"/>
    <x v="3"/>
    <x v="3"/>
    <x v="42"/>
    <x v="14"/>
    <x v="51"/>
    <x v="52"/>
    <x v="52"/>
  </r>
  <r>
    <x v="53"/>
    <x v="0"/>
    <x v="0"/>
    <x v="0"/>
    <x v="0"/>
    <x v="0"/>
    <x v="0"/>
    <x v="1"/>
    <x v="1"/>
    <x v="43"/>
    <x v="22"/>
    <x v="52"/>
    <x v="53"/>
    <x v="53"/>
  </r>
  <r>
    <x v="54"/>
    <x v="2"/>
    <x v="2"/>
    <x v="7"/>
    <x v="7"/>
    <x v="0"/>
    <x v="0"/>
    <x v="0"/>
    <x v="0"/>
    <x v="42"/>
    <x v="3"/>
    <x v="53"/>
    <x v="54"/>
    <x v="54"/>
  </r>
  <r>
    <x v="55"/>
    <x v="0"/>
    <x v="0"/>
    <x v="4"/>
    <x v="4"/>
    <x v="3"/>
    <x v="3"/>
    <x v="1"/>
    <x v="1"/>
    <x v="44"/>
    <x v="23"/>
    <x v="54"/>
    <x v="55"/>
    <x v="55"/>
  </r>
  <r>
    <x v="56"/>
    <x v="3"/>
    <x v="3"/>
    <x v="4"/>
    <x v="4"/>
    <x v="3"/>
    <x v="3"/>
    <x v="1"/>
    <x v="1"/>
    <x v="45"/>
    <x v="33"/>
    <x v="55"/>
    <x v="56"/>
    <x v="56"/>
  </r>
  <r>
    <x v="57"/>
    <x v="1"/>
    <x v="1"/>
    <x v="3"/>
    <x v="3"/>
    <x v="2"/>
    <x v="2"/>
    <x v="0"/>
    <x v="0"/>
    <x v="46"/>
    <x v="14"/>
    <x v="56"/>
    <x v="57"/>
    <x v="57"/>
  </r>
  <r>
    <x v="58"/>
    <x v="1"/>
    <x v="1"/>
    <x v="3"/>
    <x v="3"/>
    <x v="2"/>
    <x v="2"/>
    <x v="0"/>
    <x v="0"/>
    <x v="47"/>
    <x v="27"/>
    <x v="57"/>
    <x v="58"/>
    <x v="58"/>
  </r>
  <r>
    <x v="59"/>
    <x v="0"/>
    <x v="0"/>
    <x v="0"/>
    <x v="0"/>
    <x v="0"/>
    <x v="0"/>
    <x v="1"/>
    <x v="1"/>
    <x v="48"/>
    <x v="15"/>
    <x v="58"/>
    <x v="59"/>
    <x v="27"/>
  </r>
  <r>
    <x v="60"/>
    <x v="0"/>
    <x v="0"/>
    <x v="0"/>
    <x v="0"/>
    <x v="0"/>
    <x v="0"/>
    <x v="2"/>
    <x v="2"/>
    <x v="19"/>
    <x v="30"/>
    <x v="59"/>
    <x v="60"/>
    <x v="59"/>
  </r>
  <r>
    <x v="61"/>
    <x v="3"/>
    <x v="3"/>
    <x v="5"/>
    <x v="5"/>
    <x v="3"/>
    <x v="3"/>
    <x v="4"/>
    <x v="4"/>
    <x v="49"/>
    <x v="34"/>
    <x v="60"/>
    <x v="61"/>
    <x v="60"/>
  </r>
  <r>
    <x v="62"/>
    <x v="1"/>
    <x v="1"/>
    <x v="0"/>
    <x v="0"/>
    <x v="0"/>
    <x v="0"/>
    <x v="0"/>
    <x v="0"/>
    <x v="50"/>
    <x v="35"/>
    <x v="61"/>
    <x v="62"/>
    <x v="61"/>
  </r>
  <r>
    <x v="63"/>
    <x v="2"/>
    <x v="2"/>
    <x v="2"/>
    <x v="2"/>
    <x v="1"/>
    <x v="1"/>
    <x v="1"/>
    <x v="1"/>
    <x v="51"/>
    <x v="13"/>
    <x v="62"/>
    <x v="63"/>
    <x v="62"/>
  </r>
  <r>
    <x v="64"/>
    <x v="0"/>
    <x v="0"/>
    <x v="1"/>
    <x v="1"/>
    <x v="1"/>
    <x v="1"/>
    <x v="1"/>
    <x v="1"/>
    <x v="44"/>
    <x v="1"/>
    <x v="63"/>
    <x v="64"/>
    <x v="63"/>
  </r>
  <r>
    <x v="65"/>
    <x v="0"/>
    <x v="0"/>
    <x v="0"/>
    <x v="0"/>
    <x v="0"/>
    <x v="0"/>
    <x v="4"/>
    <x v="4"/>
    <x v="52"/>
    <x v="36"/>
    <x v="64"/>
    <x v="65"/>
    <x v="64"/>
  </r>
  <r>
    <x v="66"/>
    <x v="2"/>
    <x v="2"/>
    <x v="5"/>
    <x v="5"/>
    <x v="3"/>
    <x v="3"/>
    <x v="4"/>
    <x v="4"/>
    <x v="11"/>
    <x v="37"/>
    <x v="65"/>
    <x v="66"/>
    <x v="65"/>
  </r>
  <r>
    <x v="67"/>
    <x v="3"/>
    <x v="3"/>
    <x v="5"/>
    <x v="5"/>
    <x v="3"/>
    <x v="3"/>
    <x v="0"/>
    <x v="0"/>
    <x v="53"/>
    <x v="38"/>
    <x v="66"/>
    <x v="67"/>
    <x v="66"/>
  </r>
  <r>
    <x v="68"/>
    <x v="3"/>
    <x v="3"/>
    <x v="3"/>
    <x v="3"/>
    <x v="2"/>
    <x v="2"/>
    <x v="0"/>
    <x v="0"/>
    <x v="54"/>
    <x v="10"/>
    <x v="67"/>
    <x v="68"/>
    <x v="67"/>
  </r>
  <r>
    <x v="69"/>
    <x v="2"/>
    <x v="2"/>
    <x v="5"/>
    <x v="5"/>
    <x v="3"/>
    <x v="3"/>
    <x v="4"/>
    <x v="4"/>
    <x v="55"/>
    <x v="6"/>
    <x v="68"/>
    <x v="69"/>
    <x v="68"/>
  </r>
  <r>
    <x v="70"/>
    <x v="3"/>
    <x v="3"/>
    <x v="3"/>
    <x v="3"/>
    <x v="2"/>
    <x v="2"/>
    <x v="4"/>
    <x v="4"/>
    <x v="56"/>
    <x v="16"/>
    <x v="69"/>
    <x v="70"/>
    <x v="69"/>
  </r>
  <r>
    <x v="71"/>
    <x v="2"/>
    <x v="2"/>
    <x v="1"/>
    <x v="1"/>
    <x v="1"/>
    <x v="1"/>
    <x v="0"/>
    <x v="0"/>
    <x v="57"/>
    <x v="39"/>
    <x v="70"/>
    <x v="71"/>
    <x v="70"/>
  </r>
  <r>
    <x v="72"/>
    <x v="1"/>
    <x v="1"/>
    <x v="1"/>
    <x v="1"/>
    <x v="1"/>
    <x v="1"/>
    <x v="2"/>
    <x v="2"/>
    <x v="58"/>
    <x v="24"/>
    <x v="71"/>
    <x v="72"/>
    <x v="71"/>
  </r>
  <r>
    <x v="73"/>
    <x v="0"/>
    <x v="0"/>
    <x v="3"/>
    <x v="3"/>
    <x v="2"/>
    <x v="2"/>
    <x v="1"/>
    <x v="1"/>
    <x v="59"/>
    <x v="40"/>
    <x v="72"/>
    <x v="73"/>
    <x v="72"/>
  </r>
  <r>
    <x v="74"/>
    <x v="1"/>
    <x v="1"/>
    <x v="5"/>
    <x v="5"/>
    <x v="3"/>
    <x v="3"/>
    <x v="3"/>
    <x v="3"/>
    <x v="60"/>
    <x v="28"/>
    <x v="73"/>
    <x v="74"/>
    <x v="73"/>
  </r>
  <r>
    <x v="75"/>
    <x v="0"/>
    <x v="0"/>
    <x v="5"/>
    <x v="5"/>
    <x v="3"/>
    <x v="3"/>
    <x v="0"/>
    <x v="0"/>
    <x v="61"/>
    <x v="41"/>
    <x v="74"/>
    <x v="75"/>
    <x v="74"/>
  </r>
  <r>
    <x v="76"/>
    <x v="2"/>
    <x v="2"/>
    <x v="4"/>
    <x v="4"/>
    <x v="3"/>
    <x v="3"/>
    <x v="1"/>
    <x v="1"/>
    <x v="62"/>
    <x v="16"/>
    <x v="75"/>
    <x v="76"/>
    <x v="75"/>
  </r>
  <r>
    <x v="77"/>
    <x v="2"/>
    <x v="2"/>
    <x v="3"/>
    <x v="3"/>
    <x v="2"/>
    <x v="2"/>
    <x v="1"/>
    <x v="1"/>
    <x v="44"/>
    <x v="42"/>
    <x v="76"/>
    <x v="77"/>
    <x v="76"/>
  </r>
  <r>
    <x v="78"/>
    <x v="1"/>
    <x v="1"/>
    <x v="2"/>
    <x v="2"/>
    <x v="1"/>
    <x v="1"/>
    <x v="2"/>
    <x v="2"/>
    <x v="63"/>
    <x v="29"/>
    <x v="77"/>
    <x v="78"/>
    <x v="77"/>
  </r>
  <r>
    <x v="79"/>
    <x v="0"/>
    <x v="0"/>
    <x v="6"/>
    <x v="6"/>
    <x v="2"/>
    <x v="2"/>
    <x v="4"/>
    <x v="4"/>
    <x v="64"/>
    <x v="13"/>
    <x v="78"/>
    <x v="79"/>
    <x v="78"/>
  </r>
  <r>
    <x v="80"/>
    <x v="0"/>
    <x v="0"/>
    <x v="3"/>
    <x v="3"/>
    <x v="2"/>
    <x v="2"/>
    <x v="1"/>
    <x v="1"/>
    <x v="26"/>
    <x v="0"/>
    <x v="79"/>
    <x v="80"/>
    <x v="79"/>
  </r>
  <r>
    <x v="81"/>
    <x v="3"/>
    <x v="3"/>
    <x v="4"/>
    <x v="4"/>
    <x v="3"/>
    <x v="3"/>
    <x v="2"/>
    <x v="2"/>
    <x v="65"/>
    <x v="0"/>
    <x v="80"/>
    <x v="81"/>
    <x v="80"/>
  </r>
  <r>
    <x v="82"/>
    <x v="2"/>
    <x v="2"/>
    <x v="7"/>
    <x v="7"/>
    <x v="0"/>
    <x v="0"/>
    <x v="4"/>
    <x v="4"/>
    <x v="36"/>
    <x v="43"/>
    <x v="81"/>
    <x v="82"/>
    <x v="81"/>
  </r>
  <r>
    <x v="83"/>
    <x v="1"/>
    <x v="1"/>
    <x v="5"/>
    <x v="5"/>
    <x v="3"/>
    <x v="3"/>
    <x v="3"/>
    <x v="3"/>
    <x v="37"/>
    <x v="5"/>
    <x v="82"/>
    <x v="83"/>
    <x v="82"/>
  </r>
  <r>
    <x v="84"/>
    <x v="0"/>
    <x v="0"/>
    <x v="2"/>
    <x v="2"/>
    <x v="1"/>
    <x v="1"/>
    <x v="4"/>
    <x v="4"/>
    <x v="66"/>
    <x v="41"/>
    <x v="83"/>
    <x v="84"/>
    <x v="83"/>
  </r>
  <r>
    <x v="85"/>
    <x v="3"/>
    <x v="3"/>
    <x v="7"/>
    <x v="7"/>
    <x v="0"/>
    <x v="0"/>
    <x v="0"/>
    <x v="0"/>
    <x v="51"/>
    <x v="6"/>
    <x v="84"/>
    <x v="85"/>
    <x v="84"/>
  </r>
  <r>
    <x v="86"/>
    <x v="1"/>
    <x v="1"/>
    <x v="7"/>
    <x v="7"/>
    <x v="0"/>
    <x v="0"/>
    <x v="3"/>
    <x v="3"/>
    <x v="67"/>
    <x v="18"/>
    <x v="85"/>
    <x v="86"/>
    <x v="85"/>
  </r>
  <r>
    <x v="87"/>
    <x v="2"/>
    <x v="2"/>
    <x v="3"/>
    <x v="3"/>
    <x v="2"/>
    <x v="2"/>
    <x v="1"/>
    <x v="1"/>
    <x v="42"/>
    <x v="12"/>
    <x v="86"/>
    <x v="87"/>
    <x v="86"/>
  </r>
  <r>
    <x v="88"/>
    <x v="0"/>
    <x v="0"/>
    <x v="5"/>
    <x v="5"/>
    <x v="3"/>
    <x v="3"/>
    <x v="1"/>
    <x v="1"/>
    <x v="68"/>
    <x v="44"/>
    <x v="87"/>
    <x v="88"/>
    <x v="87"/>
  </r>
  <r>
    <x v="89"/>
    <x v="2"/>
    <x v="2"/>
    <x v="3"/>
    <x v="3"/>
    <x v="2"/>
    <x v="2"/>
    <x v="2"/>
    <x v="2"/>
    <x v="69"/>
    <x v="45"/>
    <x v="88"/>
    <x v="89"/>
    <x v="3"/>
  </r>
  <r>
    <x v="90"/>
    <x v="0"/>
    <x v="0"/>
    <x v="6"/>
    <x v="6"/>
    <x v="2"/>
    <x v="2"/>
    <x v="0"/>
    <x v="0"/>
    <x v="49"/>
    <x v="29"/>
    <x v="89"/>
    <x v="90"/>
    <x v="88"/>
  </r>
  <r>
    <x v="91"/>
    <x v="2"/>
    <x v="2"/>
    <x v="6"/>
    <x v="6"/>
    <x v="2"/>
    <x v="2"/>
    <x v="3"/>
    <x v="3"/>
    <x v="23"/>
    <x v="46"/>
    <x v="90"/>
    <x v="91"/>
    <x v="89"/>
  </r>
  <r>
    <x v="92"/>
    <x v="1"/>
    <x v="1"/>
    <x v="0"/>
    <x v="0"/>
    <x v="0"/>
    <x v="0"/>
    <x v="1"/>
    <x v="1"/>
    <x v="70"/>
    <x v="26"/>
    <x v="91"/>
    <x v="92"/>
    <x v="90"/>
  </r>
  <r>
    <x v="93"/>
    <x v="2"/>
    <x v="2"/>
    <x v="6"/>
    <x v="6"/>
    <x v="2"/>
    <x v="2"/>
    <x v="0"/>
    <x v="0"/>
    <x v="71"/>
    <x v="47"/>
    <x v="92"/>
    <x v="93"/>
    <x v="91"/>
  </r>
  <r>
    <x v="94"/>
    <x v="2"/>
    <x v="2"/>
    <x v="2"/>
    <x v="2"/>
    <x v="1"/>
    <x v="1"/>
    <x v="4"/>
    <x v="4"/>
    <x v="40"/>
    <x v="4"/>
    <x v="93"/>
    <x v="94"/>
    <x v="92"/>
  </r>
  <r>
    <x v="95"/>
    <x v="3"/>
    <x v="3"/>
    <x v="2"/>
    <x v="2"/>
    <x v="1"/>
    <x v="1"/>
    <x v="0"/>
    <x v="0"/>
    <x v="72"/>
    <x v="45"/>
    <x v="94"/>
    <x v="95"/>
    <x v="55"/>
  </r>
  <r>
    <x v="96"/>
    <x v="3"/>
    <x v="3"/>
    <x v="0"/>
    <x v="0"/>
    <x v="0"/>
    <x v="0"/>
    <x v="3"/>
    <x v="3"/>
    <x v="73"/>
    <x v="48"/>
    <x v="95"/>
    <x v="96"/>
    <x v="93"/>
  </r>
  <r>
    <x v="97"/>
    <x v="0"/>
    <x v="0"/>
    <x v="1"/>
    <x v="1"/>
    <x v="1"/>
    <x v="1"/>
    <x v="3"/>
    <x v="3"/>
    <x v="74"/>
    <x v="49"/>
    <x v="96"/>
    <x v="97"/>
    <x v="94"/>
  </r>
  <r>
    <x v="98"/>
    <x v="1"/>
    <x v="1"/>
    <x v="6"/>
    <x v="6"/>
    <x v="2"/>
    <x v="2"/>
    <x v="3"/>
    <x v="3"/>
    <x v="11"/>
    <x v="49"/>
    <x v="97"/>
    <x v="98"/>
    <x v="93"/>
  </r>
  <r>
    <x v="99"/>
    <x v="2"/>
    <x v="2"/>
    <x v="1"/>
    <x v="1"/>
    <x v="1"/>
    <x v="1"/>
    <x v="2"/>
    <x v="2"/>
    <x v="75"/>
    <x v="37"/>
    <x v="98"/>
    <x v="99"/>
    <x v="95"/>
  </r>
  <r>
    <x v="100"/>
    <x v="1"/>
    <x v="1"/>
    <x v="1"/>
    <x v="1"/>
    <x v="1"/>
    <x v="1"/>
    <x v="1"/>
    <x v="1"/>
    <x v="76"/>
    <x v="30"/>
    <x v="99"/>
    <x v="100"/>
    <x v="96"/>
  </r>
  <r>
    <x v="101"/>
    <x v="1"/>
    <x v="1"/>
    <x v="5"/>
    <x v="5"/>
    <x v="3"/>
    <x v="3"/>
    <x v="3"/>
    <x v="3"/>
    <x v="52"/>
    <x v="28"/>
    <x v="100"/>
    <x v="101"/>
    <x v="97"/>
  </r>
  <r>
    <x v="102"/>
    <x v="3"/>
    <x v="3"/>
    <x v="3"/>
    <x v="3"/>
    <x v="2"/>
    <x v="2"/>
    <x v="3"/>
    <x v="3"/>
    <x v="47"/>
    <x v="18"/>
    <x v="101"/>
    <x v="102"/>
    <x v="98"/>
  </r>
  <r>
    <x v="103"/>
    <x v="2"/>
    <x v="2"/>
    <x v="7"/>
    <x v="7"/>
    <x v="0"/>
    <x v="0"/>
    <x v="1"/>
    <x v="1"/>
    <x v="77"/>
    <x v="38"/>
    <x v="102"/>
    <x v="103"/>
    <x v="99"/>
  </r>
  <r>
    <x v="104"/>
    <x v="3"/>
    <x v="3"/>
    <x v="6"/>
    <x v="6"/>
    <x v="2"/>
    <x v="2"/>
    <x v="4"/>
    <x v="4"/>
    <x v="78"/>
    <x v="17"/>
    <x v="103"/>
    <x v="104"/>
    <x v="100"/>
  </r>
  <r>
    <x v="105"/>
    <x v="0"/>
    <x v="0"/>
    <x v="3"/>
    <x v="3"/>
    <x v="2"/>
    <x v="2"/>
    <x v="2"/>
    <x v="2"/>
    <x v="79"/>
    <x v="23"/>
    <x v="104"/>
    <x v="105"/>
    <x v="101"/>
  </r>
  <r>
    <x v="106"/>
    <x v="3"/>
    <x v="3"/>
    <x v="7"/>
    <x v="7"/>
    <x v="0"/>
    <x v="0"/>
    <x v="1"/>
    <x v="1"/>
    <x v="80"/>
    <x v="50"/>
    <x v="105"/>
    <x v="106"/>
    <x v="57"/>
  </r>
  <r>
    <x v="107"/>
    <x v="3"/>
    <x v="3"/>
    <x v="4"/>
    <x v="4"/>
    <x v="3"/>
    <x v="3"/>
    <x v="1"/>
    <x v="1"/>
    <x v="81"/>
    <x v="37"/>
    <x v="106"/>
    <x v="107"/>
    <x v="102"/>
  </r>
  <r>
    <x v="108"/>
    <x v="2"/>
    <x v="2"/>
    <x v="7"/>
    <x v="7"/>
    <x v="0"/>
    <x v="0"/>
    <x v="0"/>
    <x v="0"/>
    <x v="62"/>
    <x v="3"/>
    <x v="107"/>
    <x v="108"/>
    <x v="37"/>
  </r>
  <r>
    <x v="109"/>
    <x v="1"/>
    <x v="1"/>
    <x v="3"/>
    <x v="3"/>
    <x v="2"/>
    <x v="2"/>
    <x v="4"/>
    <x v="4"/>
    <x v="18"/>
    <x v="29"/>
    <x v="108"/>
    <x v="109"/>
    <x v="103"/>
  </r>
  <r>
    <x v="110"/>
    <x v="3"/>
    <x v="3"/>
    <x v="2"/>
    <x v="2"/>
    <x v="1"/>
    <x v="1"/>
    <x v="4"/>
    <x v="4"/>
    <x v="82"/>
    <x v="51"/>
    <x v="109"/>
    <x v="110"/>
    <x v="104"/>
  </r>
  <r>
    <x v="111"/>
    <x v="1"/>
    <x v="1"/>
    <x v="6"/>
    <x v="6"/>
    <x v="2"/>
    <x v="2"/>
    <x v="3"/>
    <x v="3"/>
    <x v="61"/>
    <x v="6"/>
    <x v="110"/>
    <x v="111"/>
    <x v="105"/>
  </r>
  <r>
    <x v="112"/>
    <x v="1"/>
    <x v="1"/>
    <x v="1"/>
    <x v="1"/>
    <x v="1"/>
    <x v="1"/>
    <x v="0"/>
    <x v="0"/>
    <x v="59"/>
    <x v="15"/>
    <x v="111"/>
    <x v="112"/>
    <x v="106"/>
  </r>
  <r>
    <x v="113"/>
    <x v="3"/>
    <x v="3"/>
    <x v="5"/>
    <x v="5"/>
    <x v="3"/>
    <x v="3"/>
    <x v="4"/>
    <x v="4"/>
    <x v="83"/>
    <x v="42"/>
    <x v="112"/>
    <x v="113"/>
    <x v="107"/>
  </r>
  <r>
    <x v="114"/>
    <x v="3"/>
    <x v="3"/>
    <x v="5"/>
    <x v="5"/>
    <x v="3"/>
    <x v="3"/>
    <x v="2"/>
    <x v="2"/>
    <x v="84"/>
    <x v="12"/>
    <x v="113"/>
    <x v="114"/>
    <x v="108"/>
  </r>
  <r>
    <x v="115"/>
    <x v="3"/>
    <x v="3"/>
    <x v="0"/>
    <x v="0"/>
    <x v="0"/>
    <x v="0"/>
    <x v="1"/>
    <x v="1"/>
    <x v="85"/>
    <x v="15"/>
    <x v="114"/>
    <x v="115"/>
    <x v="109"/>
  </r>
  <r>
    <x v="116"/>
    <x v="1"/>
    <x v="1"/>
    <x v="5"/>
    <x v="5"/>
    <x v="3"/>
    <x v="3"/>
    <x v="4"/>
    <x v="4"/>
    <x v="86"/>
    <x v="52"/>
    <x v="115"/>
    <x v="116"/>
    <x v="110"/>
  </r>
  <r>
    <x v="117"/>
    <x v="1"/>
    <x v="1"/>
    <x v="3"/>
    <x v="3"/>
    <x v="2"/>
    <x v="2"/>
    <x v="0"/>
    <x v="0"/>
    <x v="87"/>
    <x v="11"/>
    <x v="116"/>
    <x v="117"/>
    <x v="111"/>
  </r>
  <r>
    <x v="118"/>
    <x v="3"/>
    <x v="3"/>
    <x v="1"/>
    <x v="1"/>
    <x v="1"/>
    <x v="1"/>
    <x v="2"/>
    <x v="2"/>
    <x v="10"/>
    <x v="4"/>
    <x v="117"/>
    <x v="118"/>
    <x v="112"/>
  </r>
  <r>
    <x v="119"/>
    <x v="3"/>
    <x v="3"/>
    <x v="2"/>
    <x v="2"/>
    <x v="1"/>
    <x v="1"/>
    <x v="1"/>
    <x v="1"/>
    <x v="88"/>
    <x v="34"/>
    <x v="118"/>
    <x v="119"/>
    <x v="113"/>
  </r>
  <r>
    <x v="120"/>
    <x v="1"/>
    <x v="1"/>
    <x v="1"/>
    <x v="1"/>
    <x v="1"/>
    <x v="1"/>
    <x v="2"/>
    <x v="2"/>
    <x v="15"/>
    <x v="41"/>
    <x v="119"/>
    <x v="120"/>
    <x v="114"/>
  </r>
  <r>
    <x v="121"/>
    <x v="2"/>
    <x v="2"/>
    <x v="0"/>
    <x v="0"/>
    <x v="0"/>
    <x v="0"/>
    <x v="2"/>
    <x v="2"/>
    <x v="68"/>
    <x v="53"/>
    <x v="120"/>
    <x v="121"/>
    <x v="115"/>
  </r>
  <r>
    <x v="122"/>
    <x v="0"/>
    <x v="0"/>
    <x v="5"/>
    <x v="5"/>
    <x v="3"/>
    <x v="3"/>
    <x v="0"/>
    <x v="0"/>
    <x v="71"/>
    <x v="54"/>
    <x v="121"/>
    <x v="122"/>
    <x v="116"/>
  </r>
  <r>
    <x v="123"/>
    <x v="1"/>
    <x v="1"/>
    <x v="3"/>
    <x v="3"/>
    <x v="2"/>
    <x v="2"/>
    <x v="4"/>
    <x v="4"/>
    <x v="89"/>
    <x v="47"/>
    <x v="122"/>
    <x v="123"/>
    <x v="117"/>
  </r>
  <r>
    <x v="124"/>
    <x v="0"/>
    <x v="0"/>
    <x v="3"/>
    <x v="3"/>
    <x v="2"/>
    <x v="2"/>
    <x v="1"/>
    <x v="1"/>
    <x v="90"/>
    <x v="55"/>
    <x v="123"/>
    <x v="124"/>
    <x v="118"/>
  </r>
  <r>
    <x v="125"/>
    <x v="3"/>
    <x v="3"/>
    <x v="3"/>
    <x v="3"/>
    <x v="2"/>
    <x v="2"/>
    <x v="4"/>
    <x v="4"/>
    <x v="50"/>
    <x v="42"/>
    <x v="124"/>
    <x v="125"/>
    <x v="119"/>
  </r>
  <r>
    <x v="126"/>
    <x v="3"/>
    <x v="3"/>
    <x v="3"/>
    <x v="3"/>
    <x v="2"/>
    <x v="2"/>
    <x v="0"/>
    <x v="0"/>
    <x v="59"/>
    <x v="25"/>
    <x v="125"/>
    <x v="126"/>
    <x v="120"/>
  </r>
  <r>
    <x v="127"/>
    <x v="3"/>
    <x v="3"/>
    <x v="0"/>
    <x v="0"/>
    <x v="0"/>
    <x v="0"/>
    <x v="0"/>
    <x v="0"/>
    <x v="91"/>
    <x v="7"/>
    <x v="126"/>
    <x v="127"/>
    <x v="121"/>
  </r>
  <r>
    <x v="128"/>
    <x v="0"/>
    <x v="0"/>
    <x v="7"/>
    <x v="7"/>
    <x v="0"/>
    <x v="0"/>
    <x v="1"/>
    <x v="1"/>
    <x v="92"/>
    <x v="11"/>
    <x v="127"/>
    <x v="128"/>
    <x v="122"/>
  </r>
  <r>
    <x v="129"/>
    <x v="1"/>
    <x v="1"/>
    <x v="7"/>
    <x v="7"/>
    <x v="0"/>
    <x v="0"/>
    <x v="3"/>
    <x v="3"/>
    <x v="44"/>
    <x v="56"/>
    <x v="128"/>
    <x v="129"/>
    <x v="123"/>
  </r>
  <r>
    <x v="130"/>
    <x v="0"/>
    <x v="0"/>
    <x v="1"/>
    <x v="1"/>
    <x v="1"/>
    <x v="1"/>
    <x v="2"/>
    <x v="2"/>
    <x v="93"/>
    <x v="53"/>
    <x v="129"/>
    <x v="130"/>
    <x v="124"/>
  </r>
  <r>
    <x v="131"/>
    <x v="1"/>
    <x v="1"/>
    <x v="7"/>
    <x v="7"/>
    <x v="0"/>
    <x v="0"/>
    <x v="0"/>
    <x v="0"/>
    <x v="94"/>
    <x v="28"/>
    <x v="130"/>
    <x v="131"/>
    <x v="125"/>
  </r>
  <r>
    <x v="132"/>
    <x v="0"/>
    <x v="0"/>
    <x v="5"/>
    <x v="5"/>
    <x v="3"/>
    <x v="3"/>
    <x v="0"/>
    <x v="0"/>
    <x v="95"/>
    <x v="57"/>
    <x v="131"/>
    <x v="132"/>
    <x v="126"/>
  </r>
  <r>
    <x v="133"/>
    <x v="2"/>
    <x v="2"/>
    <x v="6"/>
    <x v="6"/>
    <x v="2"/>
    <x v="2"/>
    <x v="0"/>
    <x v="0"/>
    <x v="89"/>
    <x v="52"/>
    <x v="132"/>
    <x v="133"/>
    <x v="127"/>
  </r>
  <r>
    <x v="134"/>
    <x v="3"/>
    <x v="3"/>
    <x v="1"/>
    <x v="1"/>
    <x v="1"/>
    <x v="1"/>
    <x v="4"/>
    <x v="4"/>
    <x v="96"/>
    <x v="27"/>
    <x v="133"/>
    <x v="134"/>
    <x v="128"/>
  </r>
  <r>
    <x v="135"/>
    <x v="0"/>
    <x v="0"/>
    <x v="0"/>
    <x v="0"/>
    <x v="0"/>
    <x v="0"/>
    <x v="2"/>
    <x v="2"/>
    <x v="97"/>
    <x v="10"/>
    <x v="134"/>
    <x v="135"/>
    <x v="129"/>
  </r>
  <r>
    <x v="136"/>
    <x v="0"/>
    <x v="0"/>
    <x v="3"/>
    <x v="3"/>
    <x v="2"/>
    <x v="2"/>
    <x v="2"/>
    <x v="2"/>
    <x v="98"/>
    <x v="24"/>
    <x v="135"/>
    <x v="136"/>
    <x v="130"/>
  </r>
  <r>
    <x v="137"/>
    <x v="2"/>
    <x v="2"/>
    <x v="7"/>
    <x v="7"/>
    <x v="0"/>
    <x v="0"/>
    <x v="2"/>
    <x v="2"/>
    <x v="51"/>
    <x v="10"/>
    <x v="136"/>
    <x v="137"/>
    <x v="131"/>
  </r>
  <r>
    <x v="138"/>
    <x v="1"/>
    <x v="1"/>
    <x v="7"/>
    <x v="7"/>
    <x v="0"/>
    <x v="0"/>
    <x v="2"/>
    <x v="2"/>
    <x v="99"/>
    <x v="13"/>
    <x v="137"/>
    <x v="138"/>
    <x v="132"/>
  </r>
  <r>
    <x v="139"/>
    <x v="0"/>
    <x v="0"/>
    <x v="6"/>
    <x v="6"/>
    <x v="2"/>
    <x v="2"/>
    <x v="0"/>
    <x v="0"/>
    <x v="90"/>
    <x v="44"/>
    <x v="138"/>
    <x v="139"/>
    <x v="112"/>
  </r>
  <r>
    <x v="140"/>
    <x v="0"/>
    <x v="0"/>
    <x v="2"/>
    <x v="2"/>
    <x v="1"/>
    <x v="1"/>
    <x v="3"/>
    <x v="3"/>
    <x v="53"/>
    <x v="46"/>
    <x v="139"/>
    <x v="140"/>
    <x v="133"/>
  </r>
  <r>
    <x v="141"/>
    <x v="0"/>
    <x v="0"/>
    <x v="7"/>
    <x v="7"/>
    <x v="0"/>
    <x v="0"/>
    <x v="1"/>
    <x v="1"/>
    <x v="10"/>
    <x v="8"/>
    <x v="140"/>
    <x v="141"/>
    <x v="134"/>
  </r>
  <r>
    <x v="142"/>
    <x v="2"/>
    <x v="2"/>
    <x v="0"/>
    <x v="0"/>
    <x v="0"/>
    <x v="0"/>
    <x v="0"/>
    <x v="0"/>
    <x v="100"/>
    <x v="21"/>
    <x v="141"/>
    <x v="142"/>
    <x v="135"/>
  </r>
  <r>
    <x v="143"/>
    <x v="2"/>
    <x v="2"/>
    <x v="6"/>
    <x v="6"/>
    <x v="2"/>
    <x v="2"/>
    <x v="1"/>
    <x v="1"/>
    <x v="30"/>
    <x v="58"/>
    <x v="142"/>
    <x v="143"/>
    <x v="136"/>
  </r>
  <r>
    <x v="144"/>
    <x v="0"/>
    <x v="0"/>
    <x v="2"/>
    <x v="2"/>
    <x v="1"/>
    <x v="1"/>
    <x v="4"/>
    <x v="4"/>
    <x v="5"/>
    <x v="49"/>
    <x v="143"/>
    <x v="144"/>
    <x v="137"/>
  </r>
  <r>
    <x v="145"/>
    <x v="0"/>
    <x v="0"/>
    <x v="1"/>
    <x v="1"/>
    <x v="1"/>
    <x v="1"/>
    <x v="3"/>
    <x v="3"/>
    <x v="36"/>
    <x v="59"/>
    <x v="144"/>
    <x v="145"/>
    <x v="138"/>
  </r>
  <r>
    <x v="146"/>
    <x v="0"/>
    <x v="0"/>
    <x v="0"/>
    <x v="0"/>
    <x v="0"/>
    <x v="0"/>
    <x v="4"/>
    <x v="4"/>
    <x v="44"/>
    <x v="33"/>
    <x v="145"/>
    <x v="146"/>
    <x v="139"/>
  </r>
  <r>
    <x v="147"/>
    <x v="3"/>
    <x v="3"/>
    <x v="5"/>
    <x v="5"/>
    <x v="3"/>
    <x v="3"/>
    <x v="0"/>
    <x v="0"/>
    <x v="101"/>
    <x v="37"/>
    <x v="146"/>
    <x v="147"/>
    <x v="140"/>
  </r>
  <r>
    <x v="148"/>
    <x v="2"/>
    <x v="2"/>
    <x v="3"/>
    <x v="3"/>
    <x v="2"/>
    <x v="2"/>
    <x v="1"/>
    <x v="1"/>
    <x v="102"/>
    <x v="47"/>
    <x v="147"/>
    <x v="148"/>
    <x v="141"/>
  </r>
  <r>
    <x v="149"/>
    <x v="2"/>
    <x v="2"/>
    <x v="3"/>
    <x v="3"/>
    <x v="2"/>
    <x v="2"/>
    <x v="4"/>
    <x v="4"/>
    <x v="39"/>
    <x v="44"/>
    <x v="148"/>
    <x v="149"/>
    <x v="142"/>
  </r>
  <r>
    <x v="150"/>
    <x v="1"/>
    <x v="1"/>
    <x v="7"/>
    <x v="7"/>
    <x v="0"/>
    <x v="0"/>
    <x v="1"/>
    <x v="1"/>
    <x v="85"/>
    <x v="53"/>
    <x v="149"/>
    <x v="150"/>
    <x v="143"/>
  </r>
  <r>
    <x v="151"/>
    <x v="1"/>
    <x v="1"/>
    <x v="5"/>
    <x v="5"/>
    <x v="3"/>
    <x v="3"/>
    <x v="1"/>
    <x v="1"/>
    <x v="103"/>
    <x v="60"/>
    <x v="150"/>
    <x v="151"/>
    <x v="144"/>
  </r>
  <r>
    <x v="152"/>
    <x v="0"/>
    <x v="0"/>
    <x v="2"/>
    <x v="2"/>
    <x v="1"/>
    <x v="1"/>
    <x v="2"/>
    <x v="2"/>
    <x v="33"/>
    <x v="61"/>
    <x v="151"/>
    <x v="152"/>
    <x v="145"/>
  </r>
  <r>
    <x v="153"/>
    <x v="0"/>
    <x v="0"/>
    <x v="5"/>
    <x v="5"/>
    <x v="3"/>
    <x v="3"/>
    <x v="0"/>
    <x v="0"/>
    <x v="104"/>
    <x v="13"/>
    <x v="152"/>
    <x v="153"/>
    <x v="95"/>
  </r>
  <r>
    <x v="154"/>
    <x v="3"/>
    <x v="3"/>
    <x v="4"/>
    <x v="4"/>
    <x v="3"/>
    <x v="3"/>
    <x v="3"/>
    <x v="3"/>
    <x v="105"/>
    <x v="30"/>
    <x v="153"/>
    <x v="154"/>
    <x v="146"/>
  </r>
  <r>
    <x v="155"/>
    <x v="1"/>
    <x v="1"/>
    <x v="1"/>
    <x v="1"/>
    <x v="1"/>
    <x v="1"/>
    <x v="2"/>
    <x v="2"/>
    <x v="106"/>
    <x v="15"/>
    <x v="154"/>
    <x v="155"/>
    <x v="147"/>
  </r>
  <r>
    <x v="156"/>
    <x v="3"/>
    <x v="3"/>
    <x v="5"/>
    <x v="5"/>
    <x v="3"/>
    <x v="3"/>
    <x v="3"/>
    <x v="3"/>
    <x v="107"/>
    <x v="62"/>
    <x v="155"/>
    <x v="156"/>
    <x v="148"/>
  </r>
  <r>
    <x v="157"/>
    <x v="3"/>
    <x v="3"/>
    <x v="1"/>
    <x v="1"/>
    <x v="1"/>
    <x v="1"/>
    <x v="1"/>
    <x v="1"/>
    <x v="108"/>
    <x v="7"/>
    <x v="156"/>
    <x v="157"/>
    <x v="149"/>
  </r>
  <r>
    <x v="158"/>
    <x v="1"/>
    <x v="1"/>
    <x v="4"/>
    <x v="4"/>
    <x v="3"/>
    <x v="3"/>
    <x v="0"/>
    <x v="0"/>
    <x v="41"/>
    <x v="42"/>
    <x v="157"/>
    <x v="158"/>
    <x v="133"/>
  </r>
  <r>
    <x v="159"/>
    <x v="3"/>
    <x v="3"/>
    <x v="5"/>
    <x v="5"/>
    <x v="3"/>
    <x v="3"/>
    <x v="2"/>
    <x v="2"/>
    <x v="109"/>
    <x v="15"/>
    <x v="158"/>
    <x v="159"/>
    <x v="150"/>
  </r>
  <r>
    <x v="160"/>
    <x v="0"/>
    <x v="0"/>
    <x v="2"/>
    <x v="2"/>
    <x v="1"/>
    <x v="1"/>
    <x v="1"/>
    <x v="1"/>
    <x v="37"/>
    <x v="10"/>
    <x v="159"/>
    <x v="160"/>
    <x v="151"/>
  </r>
  <r>
    <x v="161"/>
    <x v="1"/>
    <x v="1"/>
    <x v="0"/>
    <x v="0"/>
    <x v="0"/>
    <x v="0"/>
    <x v="0"/>
    <x v="0"/>
    <x v="106"/>
    <x v="1"/>
    <x v="160"/>
    <x v="161"/>
    <x v="152"/>
  </r>
  <r>
    <x v="162"/>
    <x v="2"/>
    <x v="2"/>
    <x v="7"/>
    <x v="7"/>
    <x v="0"/>
    <x v="0"/>
    <x v="2"/>
    <x v="2"/>
    <x v="11"/>
    <x v="8"/>
    <x v="161"/>
    <x v="162"/>
    <x v="153"/>
  </r>
  <r>
    <x v="163"/>
    <x v="1"/>
    <x v="1"/>
    <x v="5"/>
    <x v="5"/>
    <x v="3"/>
    <x v="3"/>
    <x v="1"/>
    <x v="1"/>
    <x v="110"/>
    <x v="28"/>
    <x v="162"/>
    <x v="163"/>
    <x v="154"/>
  </r>
  <r>
    <x v="164"/>
    <x v="1"/>
    <x v="1"/>
    <x v="7"/>
    <x v="7"/>
    <x v="0"/>
    <x v="0"/>
    <x v="2"/>
    <x v="2"/>
    <x v="81"/>
    <x v="25"/>
    <x v="163"/>
    <x v="164"/>
    <x v="155"/>
  </r>
  <r>
    <x v="165"/>
    <x v="3"/>
    <x v="3"/>
    <x v="4"/>
    <x v="4"/>
    <x v="3"/>
    <x v="3"/>
    <x v="3"/>
    <x v="3"/>
    <x v="33"/>
    <x v="48"/>
    <x v="164"/>
    <x v="165"/>
    <x v="156"/>
  </r>
  <r>
    <x v="166"/>
    <x v="0"/>
    <x v="0"/>
    <x v="7"/>
    <x v="7"/>
    <x v="0"/>
    <x v="0"/>
    <x v="0"/>
    <x v="0"/>
    <x v="29"/>
    <x v="7"/>
    <x v="165"/>
    <x v="166"/>
    <x v="157"/>
  </r>
  <r>
    <x v="167"/>
    <x v="1"/>
    <x v="1"/>
    <x v="2"/>
    <x v="2"/>
    <x v="1"/>
    <x v="1"/>
    <x v="4"/>
    <x v="4"/>
    <x v="76"/>
    <x v="25"/>
    <x v="166"/>
    <x v="167"/>
    <x v="158"/>
  </r>
  <r>
    <x v="168"/>
    <x v="0"/>
    <x v="0"/>
    <x v="1"/>
    <x v="1"/>
    <x v="1"/>
    <x v="1"/>
    <x v="4"/>
    <x v="4"/>
    <x v="20"/>
    <x v="52"/>
    <x v="167"/>
    <x v="168"/>
    <x v="159"/>
  </r>
  <r>
    <x v="169"/>
    <x v="0"/>
    <x v="0"/>
    <x v="0"/>
    <x v="0"/>
    <x v="0"/>
    <x v="0"/>
    <x v="4"/>
    <x v="4"/>
    <x v="111"/>
    <x v="63"/>
    <x v="168"/>
    <x v="169"/>
    <x v="160"/>
  </r>
  <r>
    <x v="170"/>
    <x v="2"/>
    <x v="2"/>
    <x v="2"/>
    <x v="2"/>
    <x v="1"/>
    <x v="1"/>
    <x v="3"/>
    <x v="3"/>
    <x v="16"/>
    <x v="28"/>
    <x v="169"/>
    <x v="170"/>
    <x v="161"/>
  </r>
  <r>
    <x v="171"/>
    <x v="0"/>
    <x v="0"/>
    <x v="5"/>
    <x v="5"/>
    <x v="3"/>
    <x v="3"/>
    <x v="2"/>
    <x v="2"/>
    <x v="77"/>
    <x v="55"/>
    <x v="170"/>
    <x v="171"/>
    <x v="162"/>
  </r>
  <r>
    <x v="172"/>
    <x v="1"/>
    <x v="1"/>
    <x v="1"/>
    <x v="1"/>
    <x v="1"/>
    <x v="1"/>
    <x v="4"/>
    <x v="4"/>
    <x v="39"/>
    <x v="60"/>
    <x v="171"/>
    <x v="172"/>
    <x v="163"/>
  </r>
  <r>
    <x v="173"/>
    <x v="3"/>
    <x v="3"/>
    <x v="3"/>
    <x v="3"/>
    <x v="2"/>
    <x v="2"/>
    <x v="0"/>
    <x v="0"/>
    <x v="112"/>
    <x v="5"/>
    <x v="172"/>
    <x v="173"/>
    <x v="70"/>
  </r>
  <r>
    <x v="174"/>
    <x v="0"/>
    <x v="0"/>
    <x v="2"/>
    <x v="2"/>
    <x v="1"/>
    <x v="1"/>
    <x v="4"/>
    <x v="4"/>
    <x v="29"/>
    <x v="34"/>
    <x v="173"/>
    <x v="174"/>
    <x v="164"/>
  </r>
  <r>
    <x v="175"/>
    <x v="3"/>
    <x v="3"/>
    <x v="0"/>
    <x v="0"/>
    <x v="0"/>
    <x v="0"/>
    <x v="3"/>
    <x v="3"/>
    <x v="99"/>
    <x v="61"/>
    <x v="174"/>
    <x v="175"/>
    <x v="165"/>
  </r>
  <r>
    <x v="176"/>
    <x v="1"/>
    <x v="1"/>
    <x v="0"/>
    <x v="0"/>
    <x v="0"/>
    <x v="0"/>
    <x v="2"/>
    <x v="2"/>
    <x v="7"/>
    <x v="61"/>
    <x v="175"/>
    <x v="176"/>
    <x v="166"/>
  </r>
  <r>
    <x v="177"/>
    <x v="1"/>
    <x v="1"/>
    <x v="7"/>
    <x v="7"/>
    <x v="0"/>
    <x v="0"/>
    <x v="3"/>
    <x v="3"/>
    <x v="113"/>
    <x v="44"/>
    <x v="176"/>
    <x v="177"/>
    <x v="42"/>
  </r>
  <r>
    <x v="178"/>
    <x v="1"/>
    <x v="1"/>
    <x v="2"/>
    <x v="2"/>
    <x v="1"/>
    <x v="1"/>
    <x v="0"/>
    <x v="0"/>
    <x v="114"/>
    <x v="64"/>
    <x v="177"/>
    <x v="178"/>
    <x v="137"/>
  </r>
  <r>
    <x v="179"/>
    <x v="1"/>
    <x v="1"/>
    <x v="4"/>
    <x v="4"/>
    <x v="3"/>
    <x v="3"/>
    <x v="2"/>
    <x v="2"/>
    <x v="88"/>
    <x v="44"/>
    <x v="178"/>
    <x v="179"/>
    <x v="167"/>
  </r>
  <r>
    <x v="180"/>
    <x v="2"/>
    <x v="2"/>
    <x v="1"/>
    <x v="1"/>
    <x v="1"/>
    <x v="1"/>
    <x v="0"/>
    <x v="0"/>
    <x v="60"/>
    <x v="52"/>
    <x v="179"/>
    <x v="180"/>
    <x v="168"/>
  </r>
  <r>
    <x v="181"/>
    <x v="0"/>
    <x v="0"/>
    <x v="1"/>
    <x v="1"/>
    <x v="1"/>
    <x v="1"/>
    <x v="1"/>
    <x v="1"/>
    <x v="6"/>
    <x v="27"/>
    <x v="180"/>
    <x v="181"/>
    <x v="169"/>
  </r>
  <r>
    <x v="182"/>
    <x v="0"/>
    <x v="0"/>
    <x v="1"/>
    <x v="1"/>
    <x v="1"/>
    <x v="1"/>
    <x v="0"/>
    <x v="0"/>
    <x v="115"/>
    <x v="64"/>
    <x v="181"/>
    <x v="182"/>
    <x v="170"/>
  </r>
  <r>
    <x v="183"/>
    <x v="0"/>
    <x v="0"/>
    <x v="6"/>
    <x v="6"/>
    <x v="2"/>
    <x v="2"/>
    <x v="0"/>
    <x v="0"/>
    <x v="116"/>
    <x v="12"/>
    <x v="60"/>
    <x v="183"/>
    <x v="171"/>
  </r>
  <r>
    <x v="184"/>
    <x v="3"/>
    <x v="3"/>
    <x v="1"/>
    <x v="1"/>
    <x v="1"/>
    <x v="1"/>
    <x v="1"/>
    <x v="1"/>
    <x v="117"/>
    <x v="1"/>
    <x v="182"/>
    <x v="184"/>
    <x v="172"/>
  </r>
  <r>
    <x v="185"/>
    <x v="2"/>
    <x v="2"/>
    <x v="3"/>
    <x v="3"/>
    <x v="2"/>
    <x v="2"/>
    <x v="1"/>
    <x v="1"/>
    <x v="118"/>
    <x v="29"/>
    <x v="183"/>
    <x v="185"/>
    <x v="173"/>
  </r>
  <r>
    <x v="186"/>
    <x v="0"/>
    <x v="0"/>
    <x v="2"/>
    <x v="2"/>
    <x v="1"/>
    <x v="1"/>
    <x v="3"/>
    <x v="3"/>
    <x v="119"/>
    <x v="2"/>
    <x v="184"/>
    <x v="186"/>
    <x v="117"/>
  </r>
  <r>
    <x v="187"/>
    <x v="1"/>
    <x v="1"/>
    <x v="7"/>
    <x v="7"/>
    <x v="0"/>
    <x v="0"/>
    <x v="3"/>
    <x v="3"/>
    <x v="61"/>
    <x v="23"/>
    <x v="185"/>
    <x v="187"/>
    <x v="174"/>
  </r>
  <r>
    <x v="188"/>
    <x v="2"/>
    <x v="2"/>
    <x v="2"/>
    <x v="2"/>
    <x v="1"/>
    <x v="1"/>
    <x v="0"/>
    <x v="0"/>
    <x v="120"/>
    <x v="46"/>
    <x v="186"/>
    <x v="188"/>
    <x v="114"/>
  </r>
  <r>
    <x v="189"/>
    <x v="3"/>
    <x v="3"/>
    <x v="1"/>
    <x v="1"/>
    <x v="1"/>
    <x v="1"/>
    <x v="2"/>
    <x v="2"/>
    <x v="121"/>
    <x v="39"/>
    <x v="187"/>
    <x v="189"/>
    <x v="63"/>
  </r>
  <r>
    <x v="190"/>
    <x v="0"/>
    <x v="0"/>
    <x v="7"/>
    <x v="7"/>
    <x v="0"/>
    <x v="0"/>
    <x v="0"/>
    <x v="0"/>
    <x v="122"/>
    <x v="23"/>
    <x v="188"/>
    <x v="190"/>
    <x v="112"/>
  </r>
  <r>
    <x v="191"/>
    <x v="2"/>
    <x v="2"/>
    <x v="6"/>
    <x v="6"/>
    <x v="2"/>
    <x v="2"/>
    <x v="4"/>
    <x v="4"/>
    <x v="83"/>
    <x v="27"/>
    <x v="189"/>
    <x v="191"/>
    <x v="175"/>
  </r>
  <r>
    <x v="192"/>
    <x v="3"/>
    <x v="3"/>
    <x v="5"/>
    <x v="5"/>
    <x v="3"/>
    <x v="3"/>
    <x v="1"/>
    <x v="1"/>
    <x v="116"/>
    <x v="53"/>
    <x v="190"/>
    <x v="192"/>
    <x v="28"/>
  </r>
  <r>
    <x v="193"/>
    <x v="2"/>
    <x v="2"/>
    <x v="1"/>
    <x v="1"/>
    <x v="1"/>
    <x v="1"/>
    <x v="4"/>
    <x v="4"/>
    <x v="14"/>
    <x v="8"/>
    <x v="16"/>
    <x v="193"/>
    <x v="49"/>
  </r>
  <r>
    <x v="194"/>
    <x v="2"/>
    <x v="2"/>
    <x v="1"/>
    <x v="1"/>
    <x v="1"/>
    <x v="1"/>
    <x v="4"/>
    <x v="4"/>
    <x v="122"/>
    <x v="25"/>
    <x v="191"/>
    <x v="194"/>
    <x v="130"/>
  </r>
  <r>
    <x v="195"/>
    <x v="3"/>
    <x v="3"/>
    <x v="1"/>
    <x v="1"/>
    <x v="1"/>
    <x v="1"/>
    <x v="4"/>
    <x v="4"/>
    <x v="111"/>
    <x v="42"/>
    <x v="192"/>
    <x v="195"/>
    <x v="176"/>
  </r>
  <r>
    <x v="196"/>
    <x v="3"/>
    <x v="3"/>
    <x v="4"/>
    <x v="4"/>
    <x v="3"/>
    <x v="3"/>
    <x v="0"/>
    <x v="0"/>
    <x v="123"/>
    <x v="33"/>
    <x v="193"/>
    <x v="196"/>
    <x v="177"/>
  </r>
  <r>
    <x v="197"/>
    <x v="3"/>
    <x v="3"/>
    <x v="5"/>
    <x v="5"/>
    <x v="3"/>
    <x v="3"/>
    <x v="4"/>
    <x v="4"/>
    <x v="124"/>
    <x v="65"/>
    <x v="194"/>
    <x v="197"/>
    <x v="178"/>
  </r>
  <r>
    <x v="198"/>
    <x v="0"/>
    <x v="0"/>
    <x v="2"/>
    <x v="2"/>
    <x v="1"/>
    <x v="1"/>
    <x v="1"/>
    <x v="1"/>
    <x v="34"/>
    <x v="47"/>
    <x v="195"/>
    <x v="198"/>
    <x v="179"/>
  </r>
  <r>
    <x v="199"/>
    <x v="0"/>
    <x v="0"/>
    <x v="0"/>
    <x v="0"/>
    <x v="0"/>
    <x v="0"/>
    <x v="0"/>
    <x v="0"/>
    <x v="102"/>
    <x v="47"/>
    <x v="147"/>
    <x v="199"/>
    <x v="180"/>
  </r>
  <r>
    <x v="200"/>
    <x v="0"/>
    <x v="0"/>
    <x v="2"/>
    <x v="2"/>
    <x v="1"/>
    <x v="1"/>
    <x v="1"/>
    <x v="1"/>
    <x v="125"/>
    <x v="46"/>
    <x v="196"/>
    <x v="200"/>
    <x v="181"/>
  </r>
  <r>
    <x v="201"/>
    <x v="3"/>
    <x v="3"/>
    <x v="3"/>
    <x v="3"/>
    <x v="2"/>
    <x v="2"/>
    <x v="1"/>
    <x v="1"/>
    <x v="98"/>
    <x v="55"/>
    <x v="197"/>
    <x v="201"/>
    <x v="182"/>
  </r>
  <r>
    <x v="202"/>
    <x v="0"/>
    <x v="0"/>
    <x v="0"/>
    <x v="0"/>
    <x v="0"/>
    <x v="0"/>
    <x v="2"/>
    <x v="2"/>
    <x v="6"/>
    <x v="55"/>
    <x v="198"/>
    <x v="202"/>
    <x v="90"/>
  </r>
  <r>
    <x v="203"/>
    <x v="2"/>
    <x v="2"/>
    <x v="5"/>
    <x v="5"/>
    <x v="3"/>
    <x v="3"/>
    <x v="1"/>
    <x v="1"/>
    <x v="13"/>
    <x v="0"/>
    <x v="199"/>
    <x v="203"/>
    <x v="183"/>
  </r>
  <r>
    <x v="204"/>
    <x v="2"/>
    <x v="2"/>
    <x v="7"/>
    <x v="7"/>
    <x v="0"/>
    <x v="0"/>
    <x v="4"/>
    <x v="4"/>
    <x v="104"/>
    <x v="14"/>
    <x v="200"/>
    <x v="204"/>
    <x v="184"/>
  </r>
  <r>
    <x v="205"/>
    <x v="2"/>
    <x v="2"/>
    <x v="0"/>
    <x v="0"/>
    <x v="0"/>
    <x v="0"/>
    <x v="4"/>
    <x v="4"/>
    <x v="37"/>
    <x v="43"/>
    <x v="201"/>
    <x v="205"/>
    <x v="185"/>
  </r>
  <r>
    <x v="206"/>
    <x v="0"/>
    <x v="0"/>
    <x v="1"/>
    <x v="1"/>
    <x v="1"/>
    <x v="1"/>
    <x v="1"/>
    <x v="1"/>
    <x v="55"/>
    <x v="10"/>
    <x v="202"/>
    <x v="206"/>
    <x v="90"/>
  </r>
  <r>
    <x v="207"/>
    <x v="2"/>
    <x v="2"/>
    <x v="2"/>
    <x v="2"/>
    <x v="1"/>
    <x v="1"/>
    <x v="4"/>
    <x v="4"/>
    <x v="126"/>
    <x v="45"/>
    <x v="95"/>
    <x v="158"/>
    <x v="186"/>
  </r>
  <r>
    <x v="208"/>
    <x v="3"/>
    <x v="3"/>
    <x v="1"/>
    <x v="1"/>
    <x v="1"/>
    <x v="1"/>
    <x v="1"/>
    <x v="1"/>
    <x v="20"/>
    <x v="45"/>
    <x v="203"/>
    <x v="207"/>
    <x v="11"/>
  </r>
  <r>
    <x v="209"/>
    <x v="2"/>
    <x v="2"/>
    <x v="7"/>
    <x v="7"/>
    <x v="0"/>
    <x v="0"/>
    <x v="3"/>
    <x v="3"/>
    <x v="6"/>
    <x v="7"/>
    <x v="204"/>
    <x v="208"/>
    <x v="187"/>
  </r>
  <r>
    <x v="210"/>
    <x v="3"/>
    <x v="3"/>
    <x v="0"/>
    <x v="0"/>
    <x v="0"/>
    <x v="0"/>
    <x v="0"/>
    <x v="0"/>
    <x v="80"/>
    <x v="31"/>
    <x v="205"/>
    <x v="209"/>
    <x v="188"/>
  </r>
  <r>
    <x v="211"/>
    <x v="0"/>
    <x v="0"/>
    <x v="4"/>
    <x v="4"/>
    <x v="3"/>
    <x v="3"/>
    <x v="0"/>
    <x v="0"/>
    <x v="12"/>
    <x v="31"/>
    <x v="206"/>
    <x v="210"/>
    <x v="123"/>
  </r>
  <r>
    <x v="212"/>
    <x v="3"/>
    <x v="3"/>
    <x v="0"/>
    <x v="0"/>
    <x v="0"/>
    <x v="0"/>
    <x v="4"/>
    <x v="4"/>
    <x v="75"/>
    <x v="25"/>
    <x v="207"/>
    <x v="211"/>
    <x v="189"/>
  </r>
  <r>
    <x v="213"/>
    <x v="2"/>
    <x v="2"/>
    <x v="5"/>
    <x v="5"/>
    <x v="3"/>
    <x v="3"/>
    <x v="1"/>
    <x v="1"/>
    <x v="28"/>
    <x v="50"/>
    <x v="208"/>
    <x v="212"/>
    <x v="5"/>
  </r>
  <r>
    <x v="214"/>
    <x v="0"/>
    <x v="0"/>
    <x v="3"/>
    <x v="3"/>
    <x v="2"/>
    <x v="2"/>
    <x v="3"/>
    <x v="3"/>
    <x v="18"/>
    <x v="66"/>
    <x v="209"/>
    <x v="213"/>
    <x v="190"/>
  </r>
  <r>
    <x v="215"/>
    <x v="2"/>
    <x v="2"/>
    <x v="3"/>
    <x v="3"/>
    <x v="2"/>
    <x v="2"/>
    <x v="2"/>
    <x v="2"/>
    <x v="76"/>
    <x v="0"/>
    <x v="210"/>
    <x v="214"/>
    <x v="89"/>
  </r>
  <r>
    <x v="216"/>
    <x v="0"/>
    <x v="0"/>
    <x v="0"/>
    <x v="0"/>
    <x v="0"/>
    <x v="0"/>
    <x v="2"/>
    <x v="2"/>
    <x v="127"/>
    <x v="31"/>
    <x v="211"/>
    <x v="215"/>
    <x v="191"/>
  </r>
  <r>
    <x v="217"/>
    <x v="1"/>
    <x v="1"/>
    <x v="7"/>
    <x v="7"/>
    <x v="0"/>
    <x v="0"/>
    <x v="0"/>
    <x v="0"/>
    <x v="107"/>
    <x v="50"/>
    <x v="212"/>
    <x v="216"/>
    <x v="192"/>
  </r>
  <r>
    <x v="218"/>
    <x v="1"/>
    <x v="1"/>
    <x v="3"/>
    <x v="3"/>
    <x v="2"/>
    <x v="2"/>
    <x v="3"/>
    <x v="3"/>
    <x v="107"/>
    <x v="67"/>
    <x v="81"/>
    <x v="217"/>
    <x v="193"/>
  </r>
  <r>
    <x v="219"/>
    <x v="2"/>
    <x v="2"/>
    <x v="2"/>
    <x v="2"/>
    <x v="1"/>
    <x v="1"/>
    <x v="1"/>
    <x v="1"/>
    <x v="122"/>
    <x v="45"/>
    <x v="213"/>
    <x v="218"/>
    <x v="95"/>
  </r>
  <r>
    <x v="220"/>
    <x v="1"/>
    <x v="1"/>
    <x v="4"/>
    <x v="4"/>
    <x v="3"/>
    <x v="3"/>
    <x v="4"/>
    <x v="4"/>
    <x v="128"/>
    <x v="67"/>
    <x v="214"/>
    <x v="219"/>
    <x v="194"/>
  </r>
  <r>
    <x v="221"/>
    <x v="1"/>
    <x v="1"/>
    <x v="6"/>
    <x v="6"/>
    <x v="2"/>
    <x v="2"/>
    <x v="1"/>
    <x v="1"/>
    <x v="10"/>
    <x v="40"/>
    <x v="215"/>
    <x v="220"/>
    <x v="195"/>
  </r>
  <r>
    <x v="222"/>
    <x v="3"/>
    <x v="3"/>
    <x v="7"/>
    <x v="7"/>
    <x v="0"/>
    <x v="0"/>
    <x v="3"/>
    <x v="3"/>
    <x v="107"/>
    <x v="14"/>
    <x v="216"/>
    <x v="221"/>
    <x v="196"/>
  </r>
  <r>
    <x v="223"/>
    <x v="1"/>
    <x v="1"/>
    <x v="2"/>
    <x v="2"/>
    <x v="1"/>
    <x v="1"/>
    <x v="4"/>
    <x v="4"/>
    <x v="129"/>
    <x v="25"/>
    <x v="217"/>
    <x v="222"/>
    <x v="197"/>
  </r>
  <r>
    <x v="224"/>
    <x v="0"/>
    <x v="0"/>
    <x v="5"/>
    <x v="5"/>
    <x v="3"/>
    <x v="3"/>
    <x v="1"/>
    <x v="1"/>
    <x v="48"/>
    <x v="58"/>
    <x v="218"/>
    <x v="223"/>
    <x v="198"/>
  </r>
  <r>
    <x v="225"/>
    <x v="2"/>
    <x v="2"/>
    <x v="1"/>
    <x v="1"/>
    <x v="1"/>
    <x v="1"/>
    <x v="1"/>
    <x v="1"/>
    <x v="130"/>
    <x v="37"/>
    <x v="219"/>
    <x v="224"/>
    <x v="199"/>
  </r>
  <r>
    <x v="226"/>
    <x v="3"/>
    <x v="3"/>
    <x v="1"/>
    <x v="1"/>
    <x v="1"/>
    <x v="1"/>
    <x v="0"/>
    <x v="0"/>
    <x v="72"/>
    <x v="11"/>
    <x v="220"/>
    <x v="225"/>
    <x v="200"/>
  </r>
  <r>
    <x v="227"/>
    <x v="1"/>
    <x v="1"/>
    <x v="6"/>
    <x v="6"/>
    <x v="2"/>
    <x v="2"/>
    <x v="1"/>
    <x v="1"/>
    <x v="37"/>
    <x v="19"/>
    <x v="221"/>
    <x v="226"/>
    <x v="201"/>
  </r>
  <r>
    <x v="228"/>
    <x v="0"/>
    <x v="0"/>
    <x v="2"/>
    <x v="2"/>
    <x v="1"/>
    <x v="1"/>
    <x v="1"/>
    <x v="1"/>
    <x v="131"/>
    <x v="2"/>
    <x v="222"/>
    <x v="227"/>
    <x v="199"/>
  </r>
  <r>
    <x v="229"/>
    <x v="3"/>
    <x v="3"/>
    <x v="7"/>
    <x v="7"/>
    <x v="0"/>
    <x v="0"/>
    <x v="4"/>
    <x v="4"/>
    <x v="9"/>
    <x v="55"/>
    <x v="223"/>
    <x v="228"/>
    <x v="34"/>
  </r>
  <r>
    <x v="230"/>
    <x v="0"/>
    <x v="0"/>
    <x v="2"/>
    <x v="2"/>
    <x v="1"/>
    <x v="1"/>
    <x v="2"/>
    <x v="2"/>
    <x v="132"/>
    <x v="17"/>
    <x v="224"/>
    <x v="229"/>
    <x v="202"/>
  </r>
  <r>
    <x v="231"/>
    <x v="2"/>
    <x v="2"/>
    <x v="6"/>
    <x v="6"/>
    <x v="2"/>
    <x v="2"/>
    <x v="3"/>
    <x v="3"/>
    <x v="116"/>
    <x v="62"/>
    <x v="225"/>
    <x v="230"/>
    <x v="203"/>
  </r>
  <r>
    <x v="232"/>
    <x v="0"/>
    <x v="0"/>
    <x v="6"/>
    <x v="6"/>
    <x v="2"/>
    <x v="2"/>
    <x v="0"/>
    <x v="0"/>
    <x v="22"/>
    <x v="51"/>
    <x v="226"/>
    <x v="231"/>
    <x v="204"/>
  </r>
  <r>
    <x v="233"/>
    <x v="0"/>
    <x v="0"/>
    <x v="2"/>
    <x v="2"/>
    <x v="1"/>
    <x v="1"/>
    <x v="4"/>
    <x v="4"/>
    <x v="63"/>
    <x v="34"/>
    <x v="227"/>
    <x v="232"/>
    <x v="205"/>
  </r>
  <r>
    <x v="234"/>
    <x v="1"/>
    <x v="1"/>
    <x v="2"/>
    <x v="2"/>
    <x v="1"/>
    <x v="1"/>
    <x v="1"/>
    <x v="1"/>
    <x v="56"/>
    <x v="64"/>
    <x v="228"/>
    <x v="233"/>
    <x v="206"/>
  </r>
  <r>
    <x v="235"/>
    <x v="1"/>
    <x v="1"/>
    <x v="2"/>
    <x v="2"/>
    <x v="1"/>
    <x v="1"/>
    <x v="2"/>
    <x v="2"/>
    <x v="123"/>
    <x v="61"/>
    <x v="229"/>
    <x v="234"/>
    <x v="105"/>
  </r>
  <r>
    <x v="236"/>
    <x v="1"/>
    <x v="1"/>
    <x v="6"/>
    <x v="6"/>
    <x v="2"/>
    <x v="2"/>
    <x v="0"/>
    <x v="0"/>
    <x v="71"/>
    <x v="63"/>
    <x v="230"/>
    <x v="235"/>
    <x v="207"/>
  </r>
  <r>
    <x v="237"/>
    <x v="1"/>
    <x v="1"/>
    <x v="3"/>
    <x v="3"/>
    <x v="2"/>
    <x v="2"/>
    <x v="2"/>
    <x v="2"/>
    <x v="133"/>
    <x v="19"/>
    <x v="231"/>
    <x v="236"/>
    <x v="208"/>
  </r>
  <r>
    <x v="238"/>
    <x v="3"/>
    <x v="3"/>
    <x v="3"/>
    <x v="3"/>
    <x v="2"/>
    <x v="2"/>
    <x v="1"/>
    <x v="1"/>
    <x v="134"/>
    <x v="66"/>
    <x v="232"/>
    <x v="237"/>
    <x v="209"/>
  </r>
  <r>
    <x v="239"/>
    <x v="1"/>
    <x v="1"/>
    <x v="2"/>
    <x v="2"/>
    <x v="1"/>
    <x v="1"/>
    <x v="1"/>
    <x v="1"/>
    <x v="99"/>
    <x v="63"/>
    <x v="233"/>
    <x v="238"/>
    <x v="210"/>
  </r>
  <r>
    <x v="240"/>
    <x v="3"/>
    <x v="3"/>
    <x v="3"/>
    <x v="3"/>
    <x v="2"/>
    <x v="2"/>
    <x v="2"/>
    <x v="2"/>
    <x v="129"/>
    <x v="33"/>
    <x v="234"/>
    <x v="239"/>
    <x v="211"/>
  </r>
  <r>
    <x v="241"/>
    <x v="1"/>
    <x v="1"/>
    <x v="7"/>
    <x v="7"/>
    <x v="0"/>
    <x v="0"/>
    <x v="2"/>
    <x v="2"/>
    <x v="22"/>
    <x v="52"/>
    <x v="235"/>
    <x v="240"/>
    <x v="167"/>
  </r>
  <r>
    <x v="242"/>
    <x v="0"/>
    <x v="0"/>
    <x v="0"/>
    <x v="0"/>
    <x v="0"/>
    <x v="0"/>
    <x v="1"/>
    <x v="1"/>
    <x v="135"/>
    <x v="68"/>
    <x v="236"/>
    <x v="241"/>
    <x v="201"/>
  </r>
  <r>
    <x v="243"/>
    <x v="1"/>
    <x v="1"/>
    <x v="0"/>
    <x v="0"/>
    <x v="0"/>
    <x v="0"/>
    <x v="1"/>
    <x v="1"/>
    <x v="24"/>
    <x v="9"/>
    <x v="26"/>
    <x v="242"/>
    <x v="212"/>
  </r>
  <r>
    <x v="244"/>
    <x v="1"/>
    <x v="1"/>
    <x v="7"/>
    <x v="7"/>
    <x v="0"/>
    <x v="0"/>
    <x v="2"/>
    <x v="2"/>
    <x v="81"/>
    <x v="38"/>
    <x v="237"/>
    <x v="243"/>
    <x v="213"/>
  </r>
  <r>
    <x v="245"/>
    <x v="0"/>
    <x v="0"/>
    <x v="1"/>
    <x v="1"/>
    <x v="1"/>
    <x v="1"/>
    <x v="0"/>
    <x v="0"/>
    <x v="6"/>
    <x v="62"/>
    <x v="238"/>
    <x v="244"/>
    <x v="214"/>
  </r>
  <r>
    <x v="246"/>
    <x v="0"/>
    <x v="0"/>
    <x v="2"/>
    <x v="2"/>
    <x v="1"/>
    <x v="1"/>
    <x v="0"/>
    <x v="0"/>
    <x v="95"/>
    <x v="26"/>
    <x v="239"/>
    <x v="245"/>
    <x v="215"/>
  </r>
  <r>
    <x v="247"/>
    <x v="3"/>
    <x v="3"/>
    <x v="4"/>
    <x v="4"/>
    <x v="3"/>
    <x v="3"/>
    <x v="0"/>
    <x v="0"/>
    <x v="6"/>
    <x v="20"/>
    <x v="240"/>
    <x v="246"/>
    <x v="216"/>
  </r>
  <r>
    <x v="248"/>
    <x v="1"/>
    <x v="1"/>
    <x v="4"/>
    <x v="4"/>
    <x v="3"/>
    <x v="3"/>
    <x v="0"/>
    <x v="0"/>
    <x v="1"/>
    <x v="6"/>
    <x v="241"/>
    <x v="247"/>
    <x v="141"/>
  </r>
  <r>
    <x v="249"/>
    <x v="1"/>
    <x v="1"/>
    <x v="2"/>
    <x v="2"/>
    <x v="1"/>
    <x v="1"/>
    <x v="0"/>
    <x v="0"/>
    <x v="101"/>
    <x v="29"/>
    <x v="242"/>
    <x v="248"/>
    <x v="73"/>
  </r>
  <r>
    <x v="250"/>
    <x v="3"/>
    <x v="3"/>
    <x v="7"/>
    <x v="7"/>
    <x v="0"/>
    <x v="0"/>
    <x v="1"/>
    <x v="1"/>
    <x v="63"/>
    <x v="67"/>
    <x v="243"/>
    <x v="249"/>
    <x v="217"/>
  </r>
  <r>
    <x v="251"/>
    <x v="0"/>
    <x v="0"/>
    <x v="4"/>
    <x v="4"/>
    <x v="3"/>
    <x v="3"/>
    <x v="0"/>
    <x v="0"/>
    <x v="97"/>
    <x v="19"/>
    <x v="244"/>
    <x v="250"/>
    <x v="218"/>
  </r>
  <r>
    <x v="252"/>
    <x v="1"/>
    <x v="1"/>
    <x v="6"/>
    <x v="6"/>
    <x v="2"/>
    <x v="2"/>
    <x v="1"/>
    <x v="1"/>
    <x v="88"/>
    <x v="50"/>
    <x v="245"/>
    <x v="251"/>
    <x v="219"/>
  </r>
  <r>
    <x v="253"/>
    <x v="1"/>
    <x v="1"/>
    <x v="1"/>
    <x v="1"/>
    <x v="1"/>
    <x v="1"/>
    <x v="3"/>
    <x v="3"/>
    <x v="72"/>
    <x v="45"/>
    <x v="94"/>
    <x v="252"/>
    <x v="218"/>
  </r>
  <r>
    <x v="254"/>
    <x v="3"/>
    <x v="3"/>
    <x v="7"/>
    <x v="7"/>
    <x v="0"/>
    <x v="0"/>
    <x v="3"/>
    <x v="3"/>
    <x v="13"/>
    <x v="24"/>
    <x v="246"/>
    <x v="253"/>
    <x v="220"/>
  </r>
  <r>
    <x v="255"/>
    <x v="1"/>
    <x v="1"/>
    <x v="0"/>
    <x v="0"/>
    <x v="0"/>
    <x v="0"/>
    <x v="3"/>
    <x v="3"/>
    <x v="27"/>
    <x v="21"/>
    <x v="247"/>
    <x v="254"/>
    <x v="221"/>
  </r>
  <r>
    <x v="256"/>
    <x v="0"/>
    <x v="0"/>
    <x v="7"/>
    <x v="7"/>
    <x v="0"/>
    <x v="0"/>
    <x v="4"/>
    <x v="4"/>
    <x v="136"/>
    <x v="51"/>
    <x v="248"/>
    <x v="255"/>
    <x v="222"/>
  </r>
  <r>
    <x v="257"/>
    <x v="2"/>
    <x v="2"/>
    <x v="6"/>
    <x v="6"/>
    <x v="2"/>
    <x v="2"/>
    <x v="4"/>
    <x v="4"/>
    <x v="18"/>
    <x v="23"/>
    <x v="249"/>
    <x v="101"/>
    <x v="146"/>
  </r>
  <r>
    <x v="258"/>
    <x v="2"/>
    <x v="2"/>
    <x v="5"/>
    <x v="5"/>
    <x v="3"/>
    <x v="3"/>
    <x v="1"/>
    <x v="1"/>
    <x v="65"/>
    <x v="0"/>
    <x v="80"/>
    <x v="256"/>
    <x v="223"/>
  </r>
  <r>
    <x v="259"/>
    <x v="0"/>
    <x v="0"/>
    <x v="5"/>
    <x v="5"/>
    <x v="3"/>
    <x v="3"/>
    <x v="1"/>
    <x v="1"/>
    <x v="88"/>
    <x v="29"/>
    <x v="71"/>
    <x v="257"/>
    <x v="224"/>
  </r>
  <r>
    <x v="260"/>
    <x v="2"/>
    <x v="2"/>
    <x v="7"/>
    <x v="7"/>
    <x v="0"/>
    <x v="0"/>
    <x v="3"/>
    <x v="3"/>
    <x v="137"/>
    <x v="20"/>
    <x v="250"/>
    <x v="258"/>
    <x v="225"/>
  </r>
  <r>
    <x v="261"/>
    <x v="2"/>
    <x v="2"/>
    <x v="7"/>
    <x v="7"/>
    <x v="0"/>
    <x v="0"/>
    <x v="0"/>
    <x v="0"/>
    <x v="136"/>
    <x v="22"/>
    <x v="251"/>
    <x v="259"/>
    <x v="226"/>
  </r>
  <r>
    <x v="262"/>
    <x v="1"/>
    <x v="1"/>
    <x v="6"/>
    <x v="6"/>
    <x v="2"/>
    <x v="2"/>
    <x v="3"/>
    <x v="3"/>
    <x v="34"/>
    <x v="23"/>
    <x v="252"/>
    <x v="260"/>
    <x v="129"/>
  </r>
  <r>
    <x v="263"/>
    <x v="1"/>
    <x v="1"/>
    <x v="3"/>
    <x v="3"/>
    <x v="2"/>
    <x v="2"/>
    <x v="0"/>
    <x v="0"/>
    <x v="55"/>
    <x v="10"/>
    <x v="202"/>
    <x v="261"/>
    <x v="227"/>
  </r>
  <r>
    <x v="264"/>
    <x v="0"/>
    <x v="0"/>
    <x v="6"/>
    <x v="6"/>
    <x v="2"/>
    <x v="2"/>
    <x v="0"/>
    <x v="0"/>
    <x v="138"/>
    <x v="69"/>
    <x v="253"/>
    <x v="262"/>
    <x v="228"/>
  </r>
  <r>
    <x v="265"/>
    <x v="0"/>
    <x v="0"/>
    <x v="4"/>
    <x v="4"/>
    <x v="3"/>
    <x v="3"/>
    <x v="4"/>
    <x v="4"/>
    <x v="36"/>
    <x v="67"/>
    <x v="254"/>
    <x v="263"/>
    <x v="229"/>
  </r>
  <r>
    <x v="266"/>
    <x v="0"/>
    <x v="0"/>
    <x v="7"/>
    <x v="7"/>
    <x v="0"/>
    <x v="0"/>
    <x v="3"/>
    <x v="3"/>
    <x v="106"/>
    <x v="0"/>
    <x v="255"/>
    <x v="264"/>
    <x v="230"/>
  </r>
  <r>
    <x v="267"/>
    <x v="1"/>
    <x v="1"/>
    <x v="7"/>
    <x v="7"/>
    <x v="0"/>
    <x v="0"/>
    <x v="3"/>
    <x v="3"/>
    <x v="3"/>
    <x v="16"/>
    <x v="256"/>
    <x v="265"/>
    <x v="231"/>
  </r>
  <r>
    <x v="268"/>
    <x v="1"/>
    <x v="1"/>
    <x v="1"/>
    <x v="1"/>
    <x v="1"/>
    <x v="1"/>
    <x v="1"/>
    <x v="1"/>
    <x v="132"/>
    <x v="46"/>
    <x v="257"/>
    <x v="266"/>
    <x v="99"/>
  </r>
  <r>
    <x v="269"/>
    <x v="3"/>
    <x v="3"/>
    <x v="3"/>
    <x v="3"/>
    <x v="2"/>
    <x v="2"/>
    <x v="4"/>
    <x v="4"/>
    <x v="80"/>
    <x v="66"/>
    <x v="258"/>
    <x v="267"/>
    <x v="232"/>
  </r>
  <r>
    <x v="270"/>
    <x v="2"/>
    <x v="2"/>
    <x v="5"/>
    <x v="5"/>
    <x v="3"/>
    <x v="3"/>
    <x v="3"/>
    <x v="3"/>
    <x v="74"/>
    <x v="46"/>
    <x v="259"/>
    <x v="268"/>
    <x v="233"/>
  </r>
  <r>
    <x v="271"/>
    <x v="1"/>
    <x v="1"/>
    <x v="3"/>
    <x v="3"/>
    <x v="2"/>
    <x v="2"/>
    <x v="3"/>
    <x v="3"/>
    <x v="69"/>
    <x v="58"/>
    <x v="260"/>
    <x v="269"/>
    <x v="234"/>
  </r>
  <r>
    <x v="272"/>
    <x v="0"/>
    <x v="0"/>
    <x v="0"/>
    <x v="0"/>
    <x v="0"/>
    <x v="0"/>
    <x v="2"/>
    <x v="2"/>
    <x v="102"/>
    <x v="11"/>
    <x v="261"/>
    <x v="270"/>
    <x v="235"/>
  </r>
  <r>
    <x v="273"/>
    <x v="3"/>
    <x v="3"/>
    <x v="0"/>
    <x v="0"/>
    <x v="0"/>
    <x v="0"/>
    <x v="2"/>
    <x v="2"/>
    <x v="133"/>
    <x v="70"/>
    <x v="262"/>
    <x v="271"/>
    <x v="236"/>
  </r>
  <r>
    <x v="274"/>
    <x v="1"/>
    <x v="1"/>
    <x v="2"/>
    <x v="2"/>
    <x v="1"/>
    <x v="1"/>
    <x v="3"/>
    <x v="3"/>
    <x v="76"/>
    <x v="29"/>
    <x v="263"/>
    <x v="194"/>
    <x v="237"/>
  </r>
  <r>
    <x v="275"/>
    <x v="3"/>
    <x v="3"/>
    <x v="5"/>
    <x v="5"/>
    <x v="3"/>
    <x v="3"/>
    <x v="2"/>
    <x v="2"/>
    <x v="34"/>
    <x v="12"/>
    <x v="264"/>
    <x v="272"/>
    <x v="238"/>
  </r>
  <r>
    <x v="276"/>
    <x v="1"/>
    <x v="1"/>
    <x v="2"/>
    <x v="2"/>
    <x v="1"/>
    <x v="1"/>
    <x v="1"/>
    <x v="1"/>
    <x v="75"/>
    <x v="37"/>
    <x v="98"/>
    <x v="273"/>
    <x v="239"/>
  </r>
  <r>
    <x v="277"/>
    <x v="2"/>
    <x v="2"/>
    <x v="1"/>
    <x v="1"/>
    <x v="1"/>
    <x v="1"/>
    <x v="1"/>
    <x v="1"/>
    <x v="135"/>
    <x v="17"/>
    <x v="265"/>
    <x v="274"/>
    <x v="240"/>
  </r>
  <r>
    <x v="278"/>
    <x v="1"/>
    <x v="1"/>
    <x v="2"/>
    <x v="2"/>
    <x v="1"/>
    <x v="1"/>
    <x v="3"/>
    <x v="3"/>
    <x v="125"/>
    <x v="20"/>
    <x v="266"/>
    <x v="275"/>
    <x v="101"/>
  </r>
  <r>
    <x v="279"/>
    <x v="1"/>
    <x v="1"/>
    <x v="0"/>
    <x v="0"/>
    <x v="0"/>
    <x v="0"/>
    <x v="4"/>
    <x v="4"/>
    <x v="51"/>
    <x v="41"/>
    <x v="267"/>
    <x v="276"/>
    <x v="241"/>
  </r>
  <r>
    <x v="280"/>
    <x v="3"/>
    <x v="3"/>
    <x v="5"/>
    <x v="5"/>
    <x v="3"/>
    <x v="3"/>
    <x v="1"/>
    <x v="1"/>
    <x v="49"/>
    <x v="53"/>
    <x v="268"/>
    <x v="277"/>
    <x v="242"/>
  </r>
  <r>
    <x v="281"/>
    <x v="1"/>
    <x v="1"/>
    <x v="4"/>
    <x v="4"/>
    <x v="3"/>
    <x v="3"/>
    <x v="1"/>
    <x v="1"/>
    <x v="52"/>
    <x v="11"/>
    <x v="269"/>
    <x v="278"/>
    <x v="243"/>
  </r>
  <r>
    <x v="282"/>
    <x v="0"/>
    <x v="0"/>
    <x v="3"/>
    <x v="3"/>
    <x v="2"/>
    <x v="2"/>
    <x v="2"/>
    <x v="2"/>
    <x v="139"/>
    <x v="47"/>
    <x v="270"/>
    <x v="279"/>
    <x v="244"/>
  </r>
  <r>
    <x v="283"/>
    <x v="3"/>
    <x v="3"/>
    <x v="5"/>
    <x v="5"/>
    <x v="3"/>
    <x v="3"/>
    <x v="1"/>
    <x v="1"/>
    <x v="111"/>
    <x v="34"/>
    <x v="271"/>
    <x v="280"/>
    <x v="245"/>
  </r>
  <r>
    <x v="284"/>
    <x v="1"/>
    <x v="1"/>
    <x v="2"/>
    <x v="2"/>
    <x v="1"/>
    <x v="1"/>
    <x v="4"/>
    <x v="4"/>
    <x v="106"/>
    <x v="53"/>
    <x v="272"/>
    <x v="281"/>
    <x v="246"/>
  </r>
  <r>
    <x v="285"/>
    <x v="1"/>
    <x v="1"/>
    <x v="2"/>
    <x v="2"/>
    <x v="1"/>
    <x v="1"/>
    <x v="4"/>
    <x v="4"/>
    <x v="10"/>
    <x v="61"/>
    <x v="273"/>
    <x v="282"/>
    <x v="247"/>
  </r>
  <r>
    <x v="286"/>
    <x v="2"/>
    <x v="2"/>
    <x v="6"/>
    <x v="6"/>
    <x v="2"/>
    <x v="2"/>
    <x v="2"/>
    <x v="2"/>
    <x v="93"/>
    <x v="13"/>
    <x v="274"/>
    <x v="283"/>
    <x v="248"/>
  </r>
  <r>
    <x v="287"/>
    <x v="3"/>
    <x v="3"/>
    <x v="5"/>
    <x v="5"/>
    <x v="3"/>
    <x v="3"/>
    <x v="0"/>
    <x v="0"/>
    <x v="28"/>
    <x v="3"/>
    <x v="275"/>
    <x v="284"/>
    <x v="249"/>
  </r>
  <r>
    <x v="288"/>
    <x v="1"/>
    <x v="1"/>
    <x v="0"/>
    <x v="0"/>
    <x v="0"/>
    <x v="0"/>
    <x v="2"/>
    <x v="2"/>
    <x v="107"/>
    <x v="60"/>
    <x v="276"/>
    <x v="285"/>
    <x v="250"/>
  </r>
  <r>
    <x v="289"/>
    <x v="3"/>
    <x v="3"/>
    <x v="5"/>
    <x v="5"/>
    <x v="3"/>
    <x v="3"/>
    <x v="2"/>
    <x v="2"/>
    <x v="140"/>
    <x v="3"/>
    <x v="277"/>
    <x v="286"/>
    <x v="251"/>
  </r>
  <r>
    <x v="290"/>
    <x v="2"/>
    <x v="2"/>
    <x v="7"/>
    <x v="7"/>
    <x v="0"/>
    <x v="0"/>
    <x v="0"/>
    <x v="0"/>
    <x v="87"/>
    <x v="13"/>
    <x v="278"/>
    <x v="287"/>
    <x v="252"/>
  </r>
  <r>
    <x v="291"/>
    <x v="3"/>
    <x v="3"/>
    <x v="7"/>
    <x v="7"/>
    <x v="0"/>
    <x v="0"/>
    <x v="2"/>
    <x v="2"/>
    <x v="141"/>
    <x v="18"/>
    <x v="279"/>
    <x v="288"/>
    <x v="253"/>
  </r>
  <r>
    <x v="292"/>
    <x v="0"/>
    <x v="0"/>
    <x v="4"/>
    <x v="4"/>
    <x v="3"/>
    <x v="3"/>
    <x v="0"/>
    <x v="0"/>
    <x v="39"/>
    <x v="62"/>
    <x v="280"/>
    <x v="289"/>
    <x v="254"/>
  </r>
  <r>
    <x v="293"/>
    <x v="0"/>
    <x v="0"/>
    <x v="0"/>
    <x v="0"/>
    <x v="0"/>
    <x v="0"/>
    <x v="4"/>
    <x v="4"/>
    <x v="122"/>
    <x v="37"/>
    <x v="281"/>
    <x v="290"/>
    <x v="255"/>
  </r>
  <r>
    <x v="294"/>
    <x v="3"/>
    <x v="3"/>
    <x v="2"/>
    <x v="2"/>
    <x v="1"/>
    <x v="1"/>
    <x v="0"/>
    <x v="0"/>
    <x v="142"/>
    <x v="34"/>
    <x v="282"/>
    <x v="291"/>
    <x v="256"/>
  </r>
  <r>
    <x v="295"/>
    <x v="2"/>
    <x v="2"/>
    <x v="3"/>
    <x v="3"/>
    <x v="2"/>
    <x v="2"/>
    <x v="3"/>
    <x v="3"/>
    <x v="54"/>
    <x v="53"/>
    <x v="283"/>
    <x v="292"/>
    <x v="257"/>
  </r>
  <r>
    <x v="296"/>
    <x v="0"/>
    <x v="0"/>
    <x v="7"/>
    <x v="7"/>
    <x v="0"/>
    <x v="0"/>
    <x v="1"/>
    <x v="1"/>
    <x v="35"/>
    <x v="50"/>
    <x v="284"/>
    <x v="293"/>
    <x v="110"/>
  </r>
  <r>
    <x v="297"/>
    <x v="3"/>
    <x v="3"/>
    <x v="2"/>
    <x v="2"/>
    <x v="1"/>
    <x v="1"/>
    <x v="1"/>
    <x v="1"/>
    <x v="118"/>
    <x v="5"/>
    <x v="285"/>
    <x v="294"/>
    <x v="258"/>
  </r>
  <r>
    <x v="298"/>
    <x v="0"/>
    <x v="0"/>
    <x v="3"/>
    <x v="3"/>
    <x v="2"/>
    <x v="2"/>
    <x v="4"/>
    <x v="4"/>
    <x v="52"/>
    <x v="24"/>
    <x v="286"/>
    <x v="295"/>
    <x v="259"/>
  </r>
  <r>
    <x v="299"/>
    <x v="1"/>
    <x v="1"/>
    <x v="6"/>
    <x v="6"/>
    <x v="2"/>
    <x v="2"/>
    <x v="0"/>
    <x v="0"/>
    <x v="16"/>
    <x v="17"/>
    <x v="287"/>
    <x v="296"/>
    <x v="239"/>
  </r>
  <r>
    <x v="300"/>
    <x v="1"/>
    <x v="1"/>
    <x v="7"/>
    <x v="7"/>
    <x v="0"/>
    <x v="0"/>
    <x v="0"/>
    <x v="0"/>
    <x v="56"/>
    <x v="39"/>
    <x v="288"/>
    <x v="297"/>
    <x v="193"/>
  </r>
  <r>
    <x v="301"/>
    <x v="3"/>
    <x v="3"/>
    <x v="6"/>
    <x v="6"/>
    <x v="2"/>
    <x v="2"/>
    <x v="4"/>
    <x v="4"/>
    <x v="97"/>
    <x v="10"/>
    <x v="134"/>
    <x v="298"/>
    <x v="260"/>
  </r>
  <r>
    <x v="302"/>
    <x v="3"/>
    <x v="3"/>
    <x v="4"/>
    <x v="4"/>
    <x v="3"/>
    <x v="3"/>
    <x v="3"/>
    <x v="3"/>
    <x v="136"/>
    <x v="38"/>
    <x v="288"/>
    <x v="299"/>
    <x v="261"/>
  </r>
  <r>
    <x v="303"/>
    <x v="3"/>
    <x v="3"/>
    <x v="6"/>
    <x v="6"/>
    <x v="2"/>
    <x v="2"/>
    <x v="2"/>
    <x v="2"/>
    <x v="143"/>
    <x v="12"/>
    <x v="289"/>
    <x v="300"/>
    <x v="262"/>
  </r>
  <r>
    <x v="304"/>
    <x v="3"/>
    <x v="3"/>
    <x v="3"/>
    <x v="3"/>
    <x v="2"/>
    <x v="2"/>
    <x v="0"/>
    <x v="0"/>
    <x v="78"/>
    <x v="24"/>
    <x v="290"/>
    <x v="301"/>
    <x v="263"/>
  </r>
  <r>
    <x v="305"/>
    <x v="2"/>
    <x v="2"/>
    <x v="0"/>
    <x v="0"/>
    <x v="0"/>
    <x v="0"/>
    <x v="4"/>
    <x v="4"/>
    <x v="13"/>
    <x v="35"/>
    <x v="291"/>
    <x v="302"/>
    <x v="264"/>
  </r>
  <r>
    <x v="306"/>
    <x v="0"/>
    <x v="0"/>
    <x v="6"/>
    <x v="6"/>
    <x v="2"/>
    <x v="2"/>
    <x v="0"/>
    <x v="0"/>
    <x v="54"/>
    <x v="46"/>
    <x v="292"/>
    <x v="303"/>
    <x v="265"/>
  </r>
  <r>
    <x v="307"/>
    <x v="3"/>
    <x v="3"/>
    <x v="0"/>
    <x v="0"/>
    <x v="0"/>
    <x v="0"/>
    <x v="3"/>
    <x v="3"/>
    <x v="139"/>
    <x v="70"/>
    <x v="293"/>
    <x v="304"/>
    <x v="172"/>
  </r>
  <r>
    <x v="308"/>
    <x v="3"/>
    <x v="3"/>
    <x v="2"/>
    <x v="2"/>
    <x v="1"/>
    <x v="1"/>
    <x v="3"/>
    <x v="3"/>
    <x v="143"/>
    <x v="3"/>
    <x v="294"/>
    <x v="305"/>
    <x v="266"/>
  </r>
  <r>
    <x v="309"/>
    <x v="0"/>
    <x v="0"/>
    <x v="7"/>
    <x v="7"/>
    <x v="0"/>
    <x v="0"/>
    <x v="0"/>
    <x v="0"/>
    <x v="46"/>
    <x v="68"/>
    <x v="295"/>
    <x v="306"/>
    <x v="267"/>
  </r>
  <r>
    <x v="310"/>
    <x v="3"/>
    <x v="3"/>
    <x v="1"/>
    <x v="1"/>
    <x v="1"/>
    <x v="1"/>
    <x v="4"/>
    <x v="4"/>
    <x v="87"/>
    <x v="7"/>
    <x v="296"/>
    <x v="307"/>
    <x v="268"/>
  </r>
  <r>
    <x v="311"/>
    <x v="0"/>
    <x v="0"/>
    <x v="7"/>
    <x v="7"/>
    <x v="0"/>
    <x v="0"/>
    <x v="3"/>
    <x v="3"/>
    <x v="114"/>
    <x v="63"/>
    <x v="297"/>
    <x v="308"/>
    <x v="173"/>
  </r>
  <r>
    <x v="312"/>
    <x v="1"/>
    <x v="1"/>
    <x v="1"/>
    <x v="1"/>
    <x v="1"/>
    <x v="1"/>
    <x v="2"/>
    <x v="2"/>
    <x v="41"/>
    <x v="55"/>
    <x v="298"/>
    <x v="309"/>
    <x v="269"/>
  </r>
  <r>
    <x v="313"/>
    <x v="0"/>
    <x v="0"/>
    <x v="4"/>
    <x v="4"/>
    <x v="3"/>
    <x v="3"/>
    <x v="2"/>
    <x v="2"/>
    <x v="144"/>
    <x v="52"/>
    <x v="299"/>
    <x v="310"/>
    <x v="270"/>
  </r>
  <r>
    <x v="314"/>
    <x v="0"/>
    <x v="0"/>
    <x v="1"/>
    <x v="1"/>
    <x v="1"/>
    <x v="1"/>
    <x v="3"/>
    <x v="3"/>
    <x v="30"/>
    <x v="39"/>
    <x v="300"/>
    <x v="311"/>
    <x v="271"/>
  </r>
  <r>
    <x v="315"/>
    <x v="2"/>
    <x v="2"/>
    <x v="3"/>
    <x v="3"/>
    <x v="2"/>
    <x v="2"/>
    <x v="2"/>
    <x v="2"/>
    <x v="25"/>
    <x v="15"/>
    <x v="301"/>
    <x v="312"/>
    <x v="272"/>
  </r>
  <r>
    <x v="316"/>
    <x v="1"/>
    <x v="1"/>
    <x v="5"/>
    <x v="5"/>
    <x v="3"/>
    <x v="3"/>
    <x v="2"/>
    <x v="2"/>
    <x v="130"/>
    <x v="32"/>
    <x v="302"/>
    <x v="313"/>
    <x v="273"/>
  </r>
  <r>
    <x v="317"/>
    <x v="1"/>
    <x v="1"/>
    <x v="0"/>
    <x v="0"/>
    <x v="0"/>
    <x v="0"/>
    <x v="1"/>
    <x v="1"/>
    <x v="123"/>
    <x v="20"/>
    <x v="303"/>
    <x v="314"/>
    <x v="274"/>
  </r>
  <r>
    <x v="318"/>
    <x v="3"/>
    <x v="3"/>
    <x v="1"/>
    <x v="1"/>
    <x v="1"/>
    <x v="1"/>
    <x v="0"/>
    <x v="0"/>
    <x v="50"/>
    <x v="45"/>
    <x v="304"/>
    <x v="315"/>
    <x v="275"/>
  </r>
  <r>
    <x v="319"/>
    <x v="3"/>
    <x v="3"/>
    <x v="1"/>
    <x v="1"/>
    <x v="1"/>
    <x v="1"/>
    <x v="2"/>
    <x v="2"/>
    <x v="137"/>
    <x v="22"/>
    <x v="305"/>
    <x v="316"/>
    <x v="276"/>
  </r>
  <r>
    <x v="320"/>
    <x v="3"/>
    <x v="3"/>
    <x v="2"/>
    <x v="2"/>
    <x v="1"/>
    <x v="1"/>
    <x v="1"/>
    <x v="1"/>
    <x v="0"/>
    <x v="9"/>
    <x v="306"/>
    <x v="317"/>
    <x v="277"/>
  </r>
  <r>
    <x v="321"/>
    <x v="0"/>
    <x v="0"/>
    <x v="0"/>
    <x v="0"/>
    <x v="0"/>
    <x v="0"/>
    <x v="4"/>
    <x v="4"/>
    <x v="57"/>
    <x v="1"/>
    <x v="307"/>
    <x v="318"/>
    <x v="278"/>
  </r>
  <r>
    <x v="322"/>
    <x v="2"/>
    <x v="2"/>
    <x v="5"/>
    <x v="5"/>
    <x v="3"/>
    <x v="3"/>
    <x v="3"/>
    <x v="3"/>
    <x v="84"/>
    <x v="49"/>
    <x v="172"/>
    <x v="319"/>
    <x v="279"/>
  </r>
  <r>
    <x v="323"/>
    <x v="0"/>
    <x v="0"/>
    <x v="1"/>
    <x v="1"/>
    <x v="1"/>
    <x v="1"/>
    <x v="0"/>
    <x v="0"/>
    <x v="72"/>
    <x v="12"/>
    <x v="308"/>
    <x v="320"/>
    <x v="280"/>
  </r>
  <r>
    <x v="324"/>
    <x v="1"/>
    <x v="1"/>
    <x v="5"/>
    <x v="5"/>
    <x v="3"/>
    <x v="3"/>
    <x v="3"/>
    <x v="3"/>
    <x v="71"/>
    <x v="64"/>
    <x v="309"/>
    <x v="321"/>
    <x v="71"/>
  </r>
  <r>
    <x v="325"/>
    <x v="0"/>
    <x v="0"/>
    <x v="3"/>
    <x v="3"/>
    <x v="2"/>
    <x v="2"/>
    <x v="2"/>
    <x v="2"/>
    <x v="145"/>
    <x v="13"/>
    <x v="310"/>
    <x v="322"/>
    <x v="281"/>
  </r>
  <r>
    <x v="326"/>
    <x v="0"/>
    <x v="0"/>
    <x v="4"/>
    <x v="4"/>
    <x v="3"/>
    <x v="3"/>
    <x v="2"/>
    <x v="2"/>
    <x v="30"/>
    <x v="13"/>
    <x v="311"/>
    <x v="323"/>
    <x v="175"/>
  </r>
  <r>
    <x v="327"/>
    <x v="3"/>
    <x v="3"/>
    <x v="7"/>
    <x v="7"/>
    <x v="0"/>
    <x v="0"/>
    <x v="4"/>
    <x v="4"/>
    <x v="65"/>
    <x v="67"/>
    <x v="312"/>
    <x v="324"/>
    <x v="282"/>
  </r>
  <r>
    <x v="328"/>
    <x v="2"/>
    <x v="2"/>
    <x v="2"/>
    <x v="2"/>
    <x v="1"/>
    <x v="1"/>
    <x v="4"/>
    <x v="4"/>
    <x v="22"/>
    <x v="26"/>
    <x v="313"/>
    <x v="325"/>
    <x v="283"/>
  </r>
  <r>
    <x v="329"/>
    <x v="1"/>
    <x v="1"/>
    <x v="2"/>
    <x v="2"/>
    <x v="1"/>
    <x v="1"/>
    <x v="0"/>
    <x v="0"/>
    <x v="63"/>
    <x v="4"/>
    <x v="314"/>
    <x v="326"/>
    <x v="284"/>
  </r>
  <r>
    <x v="330"/>
    <x v="1"/>
    <x v="1"/>
    <x v="6"/>
    <x v="6"/>
    <x v="2"/>
    <x v="2"/>
    <x v="0"/>
    <x v="0"/>
    <x v="140"/>
    <x v="21"/>
    <x v="315"/>
    <x v="327"/>
    <x v="285"/>
  </r>
  <r>
    <x v="331"/>
    <x v="0"/>
    <x v="0"/>
    <x v="4"/>
    <x v="4"/>
    <x v="3"/>
    <x v="3"/>
    <x v="1"/>
    <x v="1"/>
    <x v="146"/>
    <x v="20"/>
    <x v="316"/>
    <x v="328"/>
    <x v="286"/>
  </r>
  <r>
    <x v="332"/>
    <x v="2"/>
    <x v="2"/>
    <x v="4"/>
    <x v="4"/>
    <x v="3"/>
    <x v="3"/>
    <x v="2"/>
    <x v="2"/>
    <x v="147"/>
    <x v="10"/>
    <x v="317"/>
    <x v="329"/>
    <x v="287"/>
  </r>
  <r>
    <x v="333"/>
    <x v="1"/>
    <x v="1"/>
    <x v="1"/>
    <x v="1"/>
    <x v="1"/>
    <x v="1"/>
    <x v="0"/>
    <x v="0"/>
    <x v="102"/>
    <x v="27"/>
    <x v="318"/>
    <x v="330"/>
    <x v="2"/>
  </r>
  <r>
    <x v="334"/>
    <x v="2"/>
    <x v="2"/>
    <x v="2"/>
    <x v="2"/>
    <x v="1"/>
    <x v="1"/>
    <x v="1"/>
    <x v="1"/>
    <x v="102"/>
    <x v="53"/>
    <x v="319"/>
    <x v="331"/>
    <x v="108"/>
  </r>
  <r>
    <x v="335"/>
    <x v="2"/>
    <x v="2"/>
    <x v="2"/>
    <x v="2"/>
    <x v="1"/>
    <x v="1"/>
    <x v="0"/>
    <x v="0"/>
    <x v="105"/>
    <x v="15"/>
    <x v="320"/>
    <x v="332"/>
    <x v="102"/>
  </r>
  <r>
    <x v="336"/>
    <x v="0"/>
    <x v="0"/>
    <x v="6"/>
    <x v="6"/>
    <x v="2"/>
    <x v="2"/>
    <x v="3"/>
    <x v="3"/>
    <x v="22"/>
    <x v="57"/>
    <x v="321"/>
    <x v="333"/>
    <x v="288"/>
  </r>
  <r>
    <x v="337"/>
    <x v="2"/>
    <x v="2"/>
    <x v="1"/>
    <x v="1"/>
    <x v="1"/>
    <x v="1"/>
    <x v="4"/>
    <x v="4"/>
    <x v="104"/>
    <x v="66"/>
    <x v="322"/>
    <x v="334"/>
    <x v="89"/>
  </r>
  <r>
    <x v="338"/>
    <x v="3"/>
    <x v="3"/>
    <x v="5"/>
    <x v="5"/>
    <x v="3"/>
    <x v="3"/>
    <x v="0"/>
    <x v="0"/>
    <x v="75"/>
    <x v="66"/>
    <x v="323"/>
    <x v="335"/>
    <x v="126"/>
  </r>
  <r>
    <x v="339"/>
    <x v="3"/>
    <x v="3"/>
    <x v="6"/>
    <x v="6"/>
    <x v="2"/>
    <x v="2"/>
    <x v="4"/>
    <x v="4"/>
    <x v="66"/>
    <x v="16"/>
    <x v="324"/>
    <x v="336"/>
    <x v="76"/>
  </r>
  <r>
    <x v="340"/>
    <x v="2"/>
    <x v="2"/>
    <x v="1"/>
    <x v="1"/>
    <x v="1"/>
    <x v="1"/>
    <x v="4"/>
    <x v="4"/>
    <x v="61"/>
    <x v="15"/>
    <x v="325"/>
    <x v="337"/>
    <x v="289"/>
  </r>
  <r>
    <x v="341"/>
    <x v="2"/>
    <x v="2"/>
    <x v="2"/>
    <x v="2"/>
    <x v="1"/>
    <x v="1"/>
    <x v="0"/>
    <x v="0"/>
    <x v="93"/>
    <x v="40"/>
    <x v="326"/>
    <x v="338"/>
    <x v="290"/>
  </r>
  <r>
    <x v="342"/>
    <x v="0"/>
    <x v="0"/>
    <x v="2"/>
    <x v="2"/>
    <x v="1"/>
    <x v="1"/>
    <x v="0"/>
    <x v="0"/>
    <x v="5"/>
    <x v="9"/>
    <x v="327"/>
    <x v="339"/>
    <x v="291"/>
  </r>
  <r>
    <x v="343"/>
    <x v="0"/>
    <x v="0"/>
    <x v="6"/>
    <x v="6"/>
    <x v="2"/>
    <x v="2"/>
    <x v="0"/>
    <x v="0"/>
    <x v="104"/>
    <x v="27"/>
    <x v="328"/>
    <x v="340"/>
    <x v="2"/>
  </r>
  <r>
    <x v="344"/>
    <x v="1"/>
    <x v="1"/>
    <x v="1"/>
    <x v="1"/>
    <x v="1"/>
    <x v="1"/>
    <x v="1"/>
    <x v="1"/>
    <x v="148"/>
    <x v="28"/>
    <x v="329"/>
    <x v="341"/>
    <x v="122"/>
  </r>
  <r>
    <x v="345"/>
    <x v="0"/>
    <x v="0"/>
    <x v="0"/>
    <x v="0"/>
    <x v="0"/>
    <x v="0"/>
    <x v="3"/>
    <x v="3"/>
    <x v="29"/>
    <x v="22"/>
    <x v="34"/>
    <x v="342"/>
    <x v="292"/>
  </r>
  <r>
    <x v="346"/>
    <x v="3"/>
    <x v="3"/>
    <x v="5"/>
    <x v="5"/>
    <x v="3"/>
    <x v="3"/>
    <x v="3"/>
    <x v="3"/>
    <x v="149"/>
    <x v="34"/>
    <x v="330"/>
    <x v="343"/>
    <x v="293"/>
  </r>
  <r>
    <x v="347"/>
    <x v="1"/>
    <x v="1"/>
    <x v="3"/>
    <x v="3"/>
    <x v="2"/>
    <x v="2"/>
    <x v="2"/>
    <x v="2"/>
    <x v="23"/>
    <x v="58"/>
    <x v="331"/>
    <x v="344"/>
    <x v="294"/>
  </r>
  <r>
    <x v="348"/>
    <x v="2"/>
    <x v="2"/>
    <x v="4"/>
    <x v="4"/>
    <x v="3"/>
    <x v="3"/>
    <x v="2"/>
    <x v="2"/>
    <x v="150"/>
    <x v="61"/>
    <x v="332"/>
    <x v="345"/>
    <x v="107"/>
  </r>
  <r>
    <x v="349"/>
    <x v="3"/>
    <x v="3"/>
    <x v="4"/>
    <x v="4"/>
    <x v="3"/>
    <x v="3"/>
    <x v="1"/>
    <x v="1"/>
    <x v="32"/>
    <x v="18"/>
    <x v="333"/>
    <x v="346"/>
    <x v="216"/>
  </r>
  <r>
    <x v="350"/>
    <x v="3"/>
    <x v="3"/>
    <x v="2"/>
    <x v="2"/>
    <x v="1"/>
    <x v="1"/>
    <x v="0"/>
    <x v="0"/>
    <x v="75"/>
    <x v="46"/>
    <x v="334"/>
    <x v="78"/>
    <x v="295"/>
  </r>
  <r>
    <x v="351"/>
    <x v="0"/>
    <x v="0"/>
    <x v="6"/>
    <x v="6"/>
    <x v="2"/>
    <x v="2"/>
    <x v="2"/>
    <x v="2"/>
    <x v="151"/>
    <x v="32"/>
    <x v="335"/>
    <x v="347"/>
    <x v="22"/>
  </r>
  <r>
    <x v="352"/>
    <x v="2"/>
    <x v="2"/>
    <x v="7"/>
    <x v="7"/>
    <x v="0"/>
    <x v="0"/>
    <x v="0"/>
    <x v="0"/>
    <x v="81"/>
    <x v="8"/>
    <x v="336"/>
    <x v="348"/>
    <x v="2"/>
  </r>
  <r>
    <x v="353"/>
    <x v="2"/>
    <x v="2"/>
    <x v="0"/>
    <x v="0"/>
    <x v="0"/>
    <x v="0"/>
    <x v="0"/>
    <x v="0"/>
    <x v="18"/>
    <x v="42"/>
    <x v="337"/>
    <x v="349"/>
    <x v="296"/>
  </r>
  <r>
    <x v="354"/>
    <x v="3"/>
    <x v="3"/>
    <x v="4"/>
    <x v="4"/>
    <x v="3"/>
    <x v="3"/>
    <x v="1"/>
    <x v="1"/>
    <x v="112"/>
    <x v="24"/>
    <x v="338"/>
    <x v="350"/>
    <x v="297"/>
  </r>
  <r>
    <x v="355"/>
    <x v="2"/>
    <x v="2"/>
    <x v="6"/>
    <x v="6"/>
    <x v="2"/>
    <x v="2"/>
    <x v="0"/>
    <x v="0"/>
    <x v="27"/>
    <x v="39"/>
    <x v="157"/>
    <x v="351"/>
    <x v="298"/>
  </r>
  <r>
    <x v="356"/>
    <x v="2"/>
    <x v="2"/>
    <x v="6"/>
    <x v="6"/>
    <x v="2"/>
    <x v="2"/>
    <x v="3"/>
    <x v="3"/>
    <x v="36"/>
    <x v="24"/>
    <x v="216"/>
    <x v="352"/>
    <x v="299"/>
  </r>
  <r>
    <x v="357"/>
    <x v="3"/>
    <x v="3"/>
    <x v="7"/>
    <x v="7"/>
    <x v="0"/>
    <x v="0"/>
    <x v="2"/>
    <x v="2"/>
    <x v="32"/>
    <x v="68"/>
    <x v="339"/>
    <x v="353"/>
    <x v="300"/>
  </r>
  <r>
    <x v="358"/>
    <x v="1"/>
    <x v="1"/>
    <x v="6"/>
    <x v="6"/>
    <x v="2"/>
    <x v="2"/>
    <x v="0"/>
    <x v="0"/>
    <x v="69"/>
    <x v="18"/>
    <x v="340"/>
    <x v="354"/>
    <x v="301"/>
  </r>
  <r>
    <x v="359"/>
    <x v="2"/>
    <x v="2"/>
    <x v="4"/>
    <x v="4"/>
    <x v="3"/>
    <x v="3"/>
    <x v="1"/>
    <x v="1"/>
    <x v="84"/>
    <x v="66"/>
    <x v="341"/>
    <x v="355"/>
    <x v="296"/>
  </r>
  <r>
    <x v="360"/>
    <x v="1"/>
    <x v="1"/>
    <x v="4"/>
    <x v="4"/>
    <x v="3"/>
    <x v="3"/>
    <x v="1"/>
    <x v="1"/>
    <x v="152"/>
    <x v="44"/>
    <x v="342"/>
    <x v="356"/>
    <x v="37"/>
  </r>
  <r>
    <x v="361"/>
    <x v="1"/>
    <x v="1"/>
    <x v="6"/>
    <x v="6"/>
    <x v="2"/>
    <x v="2"/>
    <x v="3"/>
    <x v="3"/>
    <x v="133"/>
    <x v="44"/>
    <x v="277"/>
    <x v="357"/>
    <x v="302"/>
  </r>
  <r>
    <x v="362"/>
    <x v="2"/>
    <x v="2"/>
    <x v="7"/>
    <x v="7"/>
    <x v="0"/>
    <x v="0"/>
    <x v="1"/>
    <x v="1"/>
    <x v="7"/>
    <x v="52"/>
    <x v="343"/>
    <x v="358"/>
    <x v="303"/>
  </r>
  <r>
    <x v="363"/>
    <x v="3"/>
    <x v="3"/>
    <x v="6"/>
    <x v="6"/>
    <x v="2"/>
    <x v="2"/>
    <x v="4"/>
    <x v="4"/>
    <x v="3"/>
    <x v="51"/>
    <x v="344"/>
    <x v="359"/>
    <x v="241"/>
  </r>
  <r>
    <x v="364"/>
    <x v="2"/>
    <x v="2"/>
    <x v="3"/>
    <x v="3"/>
    <x v="2"/>
    <x v="2"/>
    <x v="1"/>
    <x v="1"/>
    <x v="93"/>
    <x v="3"/>
    <x v="345"/>
    <x v="360"/>
    <x v="304"/>
  </r>
  <r>
    <x v="365"/>
    <x v="0"/>
    <x v="0"/>
    <x v="6"/>
    <x v="6"/>
    <x v="2"/>
    <x v="2"/>
    <x v="3"/>
    <x v="3"/>
    <x v="43"/>
    <x v="36"/>
    <x v="346"/>
    <x v="361"/>
    <x v="107"/>
  </r>
  <r>
    <x v="366"/>
    <x v="0"/>
    <x v="0"/>
    <x v="4"/>
    <x v="4"/>
    <x v="3"/>
    <x v="3"/>
    <x v="3"/>
    <x v="3"/>
    <x v="32"/>
    <x v="0"/>
    <x v="347"/>
    <x v="362"/>
    <x v="87"/>
  </r>
  <r>
    <x v="367"/>
    <x v="1"/>
    <x v="1"/>
    <x v="3"/>
    <x v="3"/>
    <x v="2"/>
    <x v="2"/>
    <x v="0"/>
    <x v="0"/>
    <x v="143"/>
    <x v="18"/>
    <x v="348"/>
    <x v="363"/>
    <x v="305"/>
  </r>
  <r>
    <x v="368"/>
    <x v="1"/>
    <x v="1"/>
    <x v="6"/>
    <x v="6"/>
    <x v="2"/>
    <x v="2"/>
    <x v="2"/>
    <x v="2"/>
    <x v="79"/>
    <x v="1"/>
    <x v="349"/>
    <x v="364"/>
    <x v="16"/>
  </r>
  <r>
    <x v="369"/>
    <x v="1"/>
    <x v="1"/>
    <x v="4"/>
    <x v="4"/>
    <x v="3"/>
    <x v="3"/>
    <x v="4"/>
    <x v="4"/>
    <x v="53"/>
    <x v="9"/>
    <x v="350"/>
    <x v="365"/>
    <x v="306"/>
  </r>
  <r>
    <x v="370"/>
    <x v="2"/>
    <x v="2"/>
    <x v="3"/>
    <x v="3"/>
    <x v="2"/>
    <x v="2"/>
    <x v="2"/>
    <x v="2"/>
    <x v="47"/>
    <x v="33"/>
    <x v="351"/>
    <x v="366"/>
    <x v="307"/>
  </r>
  <r>
    <x v="371"/>
    <x v="1"/>
    <x v="1"/>
    <x v="7"/>
    <x v="7"/>
    <x v="0"/>
    <x v="0"/>
    <x v="1"/>
    <x v="1"/>
    <x v="15"/>
    <x v="25"/>
    <x v="352"/>
    <x v="367"/>
    <x v="308"/>
  </r>
  <r>
    <x v="372"/>
    <x v="0"/>
    <x v="0"/>
    <x v="0"/>
    <x v="0"/>
    <x v="0"/>
    <x v="0"/>
    <x v="0"/>
    <x v="0"/>
    <x v="71"/>
    <x v="26"/>
    <x v="353"/>
    <x v="368"/>
    <x v="130"/>
  </r>
  <r>
    <x v="373"/>
    <x v="2"/>
    <x v="2"/>
    <x v="4"/>
    <x v="4"/>
    <x v="3"/>
    <x v="3"/>
    <x v="3"/>
    <x v="3"/>
    <x v="153"/>
    <x v="8"/>
    <x v="354"/>
    <x v="369"/>
    <x v="60"/>
  </r>
  <r>
    <x v="374"/>
    <x v="2"/>
    <x v="2"/>
    <x v="7"/>
    <x v="7"/>
    <x v="0"/>
    <x v="0"/>
    <x v="2"/>
    <x v="2"/>
    <x v="117"/>
    <x v="16"/>
    <x v="355"/>
    <x v="370"/>
    <x v="240"/>
  </r>
  <r>
    <x v="375"/>
    <x v="2"/>
    <x v="2"/>
    <x v="3"/>
    <x v="3"/>
    <x v="2"/>
    <x v="2"/>
    <x v="4"/>
    <x v="4"/>
    <x v="31"/>
    <x v="6"/>
    <x v="356"/>
    <x v="371"/>
    <x v="309"/>
  </r>
  <r>
    <x v="376"/>
    <x v="2"/>
    <x v="2"/>
    <x v="4"/>
    <x v="4"/>
    <x v="3"/>
    <x v="3"/>
    <x v="0"/>
    <x v="0"/>
    <x v="154"/>
    <x v="63"/>
    <x v="357"/>
    <x v="372"/>
    <x v="310"/>
  </r>
  <r>
    <x v="377"/>
    <x v="3"/>
    <x v="3"/>
    <x v="5"/>
    <x v="5"/>
    <x v="3"/>
    <x v="3"/>
    <x v="2"/>
    <x v="2"/>
    <x v="124"/>
    <x v="66"/>
    <x v="358"/>
    <x v="373"/>
    <x v="311"/>
  </r>
  <r>
    <x v="378"/>
    <x v="3"/>
    <x v="3"/>
    <x v="5"/>
    <x v="5"/>
    <x v="3"/>
    <x v="3"/>
    <x v="0"/>
    <x v="0"/>
    <x v="155"/>
    <x v="60"/>
    <x v="359"/>
    <x v="374"/>
    <x v="312"/>
  </r>
  <r>
    <x v="379"/>
    <x v="2"/>
    <x v="2"/>
    <x v="2"/>
    <x v="2"/>
    <x v="1"/>
    <x v="1"/>
    <x v="4"/>
    <x v="4"/>
    <x v="72"/>
    <x v="15"/>
    <x v="360"/>
    <x v="375"/>
    <x v="110"/>
  </r>
  <r>
    <x v="380"/>
    <x v="3"/>
    <x v="3"/>
    <x v="2"/>
    <x v="2"/>
    <x v="1"/>
    <x v="1"/>
    <x v="3"/>
    <x v="3"/>
    <x v="117"/>
    <x v="13"/>
    <x v="361"/>
    <x v="376"/>
    <x v="313"/>
  </r>
  <r>
    <x v="381"/>
    <x v="3"/>
    <x v="3"/>
    <x v="7"/>
    <x v="7"/>
    <x v="0"/>
    <x v="0"/>
    <x v="3"/>
    <x v="3"/>
    <x v="156"/>
    <x v="67"/>
    <x v="362"/>
    <x v="377"/>
    <x v="314"/>
  </r>
  <r>
    <x v="382"/>
    <x v="3"/>
    <x v="3"/>
    <x v="6"/>
    <x v="6"/>
    <x v="2"/>
    <x v="2"/>
    <x v="0"/>
    <x v="0"/>
    <x v="81"/>
    <x v="10"/>
    <x v="363"/>
    <x v="378"/>
    <x v="315"/>
  </r>
  <r>
    <x v="383"/>
    <x v="3"/>
    <x v="3"/>
    <x v="5"/>
    <x v="5"/>
    <x v="3"/>
    <x v="3"/>
    <x v="2"/>
    <x v="2"/>
    <x v="156"/>
    <x v="32"/>
    <x v="364"/>
    <x v="379"/>
    <x v="147"/>
  </r>
  <r>
    <x v="384"/>
    <x v="1"/>
    <x v="1"/>
    <x v="3"/>
    <x v="3"/>
    <x v="2"/>
    <x v="2"/>
    <x v="4"/>
    <x v="4"/>
    <x v="81"/>
    <x v="37"/>
    <x v="106"/>
    <x v="380"/>
    <x v="182"/>
  </r>
  <r>
    <x v="385"/>
    <x v="2"/>
    <x v="2"/>
    <x v="1"/>
    <x v="1"/>
    <x v="1"/>
    <x v="1"/>
    <x v="3"/>
    <x v="3"/>
    <x v="58"/>
    <x v="56"/>
    <x v="365"/>
    <x v="381"/>
    <x v="316"/>
  </r>
  <r>
    <x v="386"/>
    <x v="1"/>
    <x v="1"/>
    <x v="2"/>
    <x v="2"/>
    <x v="1"/>
    <x v="1"/>
    <x v="3"/>
    <x v="3"/>
    <x v="16"/>
    <x v="11"/>
    <x v="366"/>
    <x v="382"/>
    <x v="259"/>
  </r>
  <r>
    <x v="387"/>
    <x v="2"/>
    <x v="2"/>
    <x v="0"/>
    <x v="0"/>
    <x v="0"/>
    <x v="0"/>
    <x v="1"/>
    <x v="1"/>
    <x v="141"/>
    <x v="43"/>
    <x v="367"/>
    <x v="383"/>
    <x v="317"/>
  </r>
  <r>
    <x v="388"/>
    <x v="2"/>
    <x v="2"/>
    <x v="4"/>
    <x v="4"/>
    <x v="3"/>
    <x v="3"/>
    <x v="0"/>
    <x v="0"/>
    <x v="157"/>
    <x v="64"/>
    <x v="368"/>
    <x v="384"/>
    <x v="318"/>
  </r>
  <r>
    <x v="389"/>
    <x v="0"/>
    <x v="0"/>
    <x v="4"/>
    <x v="4"/>
    <x v="3"/>
    <x v="3"/>
    <x v="2"/>
    <x v="2"/>
    <x v="73"/>
    <x v="9"/>
    <x v="369"/>
    <x v="385"/>
    <x v="125"/>
  </r>
  <r>
    <x v="390"/>
    <x v="2"/>
    <x v="2"/>
    <x v="3"/>
    <x v="3"/>
    <x v="2"/>
    <x v="2"/>
    <x v="4"/>
    <x v="4"/>
    <x v="121"/>
    <x v="33"/>
    <x v="370"/>
    <x v="386"/>
    <x v="151"/>
  </r>
  <r>
    <x v="391"/>
    <x v="3"/>
    <x v="3"/>
    <x v="2"/>
    <x v="2"/>
    <x v="1"/>
    <x v="1"/>
    <x v="4"/>
    <x v="4"/>
    <x v="79"/>
    <x v="32"/>
    <x v="371"/>
    <x v="387"/>
    <x v="319"/>
  </r>
  <r>
    <x v="392"/>
    <x v="0"/>
    <x v="0"/>
    <x v="6"/>
    <x v="6"/>
    <x v="2"/>
    <x v="2"/>
    <x v="0"/>
    <x v="0"/>
    <x v="86"/>
    <x v="36"/>
    <x v="372"/>
    <x v="388"/>
    <x v="320"/>
  </r>
  <r>
    <x v="393"/>
    <x v="1"/>
    <x v="1"/>
    <x v="2"/>
    <x v="2"/>
    <x v="1"/>
    <x v="1"/>
    <x v="2"/>
    <x v="2"/>
    <x v="156"/>
    <x v="28"/>
    <x v="373"/>
    <x v="389"/>
    <x v="321"/>
  </r>
  <r>
    <x v="394"/>
    <x v="0"/>
    <x v="0"/>
    <x v="3"/>
    <x v="3"/>
    <x v="2"/>
    <x v="2"/>
    <x v="3"/>
    <x v="3"/>
    <x v="158"/>
    <x v="25"/>
    <x v="374"/>
    <x v="390"/>
    <x v="235"/>
  </r>
  <r>
    <x v="395"/>
    <x v="0"/>
    <x v="0"/>
    <x v="4"/>
    <x v="4"/>
    <x v="3"/>
    <x v="3"/>
    <x v="2"/>
    <x v="2"/>
    <x v="108"/>
    <x v="41"/>
    <x v="375"/>
    <x v="391"/>
    <x v="322"/>
  </r>
  <r>
    <x v="396"/>
    <x v="3"/>
    <x v="3"/>
    <x v="6"/>
    <x v="6"/>
    <x v="2"/>
    <x v="2"/>
    <x v="1"/>
    <x v="1"/>
    <x v="124"/>
    <x v="53"/>
    <x v="376"/>
    <x v="392"/>
    <x v="240"/>
  </r>
  <r>
    <x v="397"/>
    <x v="3"/>
    <x v="3"/>
    <x v="2"/>
    <x v="2"/>
    <x v="1"/>
    <x v="1"/>
    <x v="0"/>
    <x v="0"/>
    <x v="122"/>
    <x v="65"/>
    <x v="377"/>
    <x v="393"/>
    <x v="323"/>
  </r>
  <r>
    <x v="398"/>
    <x v="1"/>
    <x v="1"/>
    <x v="1"/>
    <x v="1"/>
    <x v="1"/>
    <x v="1"/>
    <x v="0"/>
    <x v="0"/>
    <x v="135"/>
    <x v="66"/>
    <x v="378"/>
    <x v="394"/>
    <x v="220"/>
  </r>
  <r>
    <x v="399"/>
    <x v="2"/>
    <x v="2"/>
    <x v="0"/>
    <x v="0"/>
    <x v="0"/>
    <x v="0"/>
    <x v="3"/>
    <x v="3"/>
    <x v="112"/>
    <x v="6"/>
    <x v="379"/>
    <x v="395"/>
    <x v="324"/>
  </r>
  <r>
    <x v="400"/>
    <x v="3"/>
    <x v="3"/>
    <x v="3"/>
    <x v="3"/>
    <x v="2"/>
    <x v="2"/>
    <x v="0"/>
    <x v="0"/>
    <x v="111"/>
    <x v="44"/>
    <x v="380"/>
    <x v="396"/>
    <x v="325"/>
  </r>
  <r>
    <x v="401"/>
    <x v="1"/>
    <x v="1"/>
    <x v="3"/>
    <x v="3"/>
    <x v="2"/>
    <x v="2"/>
    <x v="4"/>
    <x v="4"/>
    <x v="68"/>
    <x v="53"/>
    <x v="120"/>
    <x v="397"/>
    <x v="326"/>
  </r>
  <r>
    <x v="402"/>
    <x v="3"/>
    <x v="3"/>
    <x v="4"/>
    <x v="4"/>
    <x v="3"/>
    <x v="3"/>
    <x v="4"/>
    <x v="4"/>
    <x v="121"/>
    <x v="48"/>
    <x v="381"/>
    <x v="398"/>
    <x v="327"/>
  </r>
  <r>
    <x v="403"/>
    <x v="3"/>
    <x v="3"/>
    <x v="4"/>
    <x v="4"/>
    <x v="3"/>
    <x v="3"/>
    <x v="2"/>
    <x v="2"/>
    <x v="135"/>
    <x v="6"/>
    <x v="382"/>
    <x v="399"/>
    <x v="69"/>
  </r>
  <r>
    <x v="404"/>
    <x v="0"/>
    <x v="0"/>
    <x v="6"/>
    <x v="6"/>
    <x v="2"/>
    <x v="2"/>
    <x v="0"/>
    <x v="0"/>
    <x v="44"/>
    <x v="26"/>
    <x v="383"/>
    <x v="400"/>
    <x v="328"/>
  </r>
  <r>
    <x v="405"/>
    <x v="3"/>
    <x v="3"/>
    <x v="0"/>
    <x v="0"/>
    <x v="0"/>
    <x v="0"/>
    <x v="2"/>
    <x v="2"/>
    <x v="100"/>
    <x v="35"/>
    <x v="384"/>
    <x v="401"/>
    <x v="329"/>
  </r>
  <r>
    <x v="406"/>
    <x v="0"/>
    <x v="0"/>
    <x v="7"/>
    <x v="7"/>
    <x v="0"/>
    <x v="0"/>
    <x v="1"/>
    <x v="1"/>
    <x v="104"/>
    <x v="21"/>
    <x v="28"/>
    <x v="402"/>
    <x v="330"/>
  </r>
  <r>
    <x v="407"/>
    <x v="3"/>
    <x v="3"/>
    <x v="5"/>
    <x v="5"/>
    <x v="3"/>
    <x v="3"/>
    <x v="1"/>
    <x v="1"/>
    <x v="155"/>
    <x v="42"/>
    <x v="385"/>
    <x v="403"/>
    <x v="331"/>
  </r>
  <r>
    <x v="408"/>
    <x v="1"/>
    <x v="1"/>
    <x v="4"/>
    <x v="4"/>
    <x v="3"/>
    <x v="3"/>
    <x v="2"/>
    <x v="2"/>
    <x v="134"/>
    <x v="48"/>
    <x v="386"/>
    <x v="404"/>
    <x v="332"/>
  </r>
  <r>
    <x v="409"/>
    <x v="0"/>
    <x v="0"/>
    <x v="2"/>
    <x v="2"/>
    <x v="1"/>
    <x v="1"/>
    <x v="4"/>
    <x v="4"/>
    <x v="32"/>
    <x v="7"/>
    <x v="387"/>
    <x v="405"/>
    <x v="333"/>
  </r>
  <r>
    <x v="410"/>
    <x v="3"/>
    <x v="3"/>
    <x v="1"/>
    <x v="1"/>
    <x v="1"/>
    <x v="1"/>
    <x v="3"/>
    <x v="3"/>
    <x v="81"/>
    <x v="10"/>
    <x v="363"/>
    <x v="406"/>
    <x v="334"/>
  </r>
  <r>
    <x v="411"/>
    <x v="2"/>
    <x v="2"/>
    <x v="1"/>
    <x v="1"/>
    <x v="1"/>
    <x v="1"/>
    <x v="3"/>
    <x v="3"/>
    <x v="71"/>
    <x v="57"/>
    <x v="388"/>
    <x v="407"/>
    <x v="335"/>
  </r>
  <r>
    <x v="412"/>
    <x v="2"/>
    <x v="2"/>
    <x v="4"/>
    <x v="4"/>
    <x v="3"/>
    <x v="3"/>
    <x v="2"/>
    <x v="2"/>
    <x v="62"/>
    <x v="22"/>
    <x v="389"/>
    <x v="408"/>
    <x v="181"/>
  </r>
  <r>
    <x v="413"/>
    <x v="0"/>
    <x v="0"/>
    <x v="6"/>
    <x v="6"/>
    <x v="2"/>
    <x v="2"/>
    <x v="2"/>
    <x v="2"/>
    <x v="147"/>
    <x v="27"/>
    <x v="390"/>
    <x v="409"/>
    <x v="336"/>
  </r>
  <r>
    <x v="414"/>
    <x v="1"/>
    <x v="1"/>
    <x v="7"/>
    <x v="7"/>
    <x v="0"/>
    <x v="0"/>
    <x v="2"/>
    <x v="2"/>
    <x v="141"/>
    <x v="63"/>
    <x v="391"/>
    <x v="410"/>
    <x v="337"/>
  </r>
  <r>
    <x v="415"/>
    <x v="1"/>
    <x v="1"/>
    <x v="7"/>
    <x v="7"/>
    <x v="0"/>
    <x v="0"/>
    <x v="1"/>
    <x v="1"/>
    <x v="61"/>
    <x v="6"/>
    <x v="110"/>
    <x v="411"/>
    <x v="125"/>
  </r>
  <r>
    <x v="416"/>
    <x v="3"/>
    <x v="3"/>
    <x v="1"/>
    <x v="1"/>
    <x v="1"/>
    <x v="1"/>
    <x v="2"/>
    <x v="2"/>
    <x v="126"/>
    <x v="16"/>
    <x v="392"/>
    <x v="412"/>
    <x v="338"/>
  </r>
  <r>
    <x v="417"/>
    <x v="1"/>
    <x v="1"/>
    <x v="5"/>
    <x v="5"/>
    <x v="3"/>
    <x v="3"/>
    <x v="0"/>
    <x v="0"/>
    <x v="106"/>
    <x v="54"/>
    <x v="393"/>
    <x v="413"/>
    <x v="83"/>
  </r>
  <r>
    <x v="418"/>
    <x v="2"/>
    <x v="2"/>
    <x v="6"/>
    <x v="6"/>
    <x v="2"/>
    <x v="2"/>
    <x v="1"/>
    <x v="1"/>
    <x v="32"/>
    <x v="17"/>
    <x v="394"/>
    <x v="414"/>
    <x v="339"/>
  </r>
  <r>
    <x v="419"/>
    <x v="3"/>
    <x v="3"/>
    <x v="3"/>
    <x v="3"/>
    <x v="2"/>
    <x v="2"/>
    <x v="3"/>
    <x v="3"/>
    <x v="155"/>
    <x v="2"/>
    <x v="395"/>
    <x v="415"/>
    <x v="113"/>
  </r>
  <r>
    <x v="420"/>
    <x v="3"/>
    <x v="3"/>
    <x v="3"/>
    <x v="3"/>
    <x v="2"/>
    <x v="2"/>
    <x v="1"/>
    <x v="1"/>
    <x v="30"/>
    <x v="25"/>
    <x v="396"/>
    <x v="416"/>
    <x v="340"/>
  </r>
  <r>
    <x v="421"/>
    <x v="1"/>
    <x v="1"/>
    <x v="7"/>
    <x v="7"/>
    <x v="0"/>
    <x v="0"/>
    <x v="3"/>
    <x v="3"/>
    <x v="102"/>
    <x v="30"/>
    <x v="397"/>
    <x v="417"/>
    <x v="341"/>
  </r>
  <r>
    <x v="422"/>
    <x v="0"/>
    <x v="0"/>
    <x v="5"/>
    <x v="5"/>
    <x v="3"/>
    <x v="3"/>
    <x v="3"/>
    <x v="3"/>
    <x v="51"/>
    <x v="20"/>
    <x v="398"/>
    <x v="418"/>
    <x v="90"/>
  </r>
  <r>
    <x v="423"/>
    <x v="3"/>
    <x v="3"/>
    <x v="4"/>
    <x v="4"/>
    <x v="3"/>
    <x v="3"/>
    <x v="3"/>
    <x v="3"/>
    <x v="55"/>
    <x v="32"/>
    <x v="399"/>
    <x v="419"/>
    <x v="270"/>
  </r>
  <r>
    <x v="424"/>
    <x v="0"/>
    <x v="0"/>
    <x v="0"/>
    <x v="0"/>
    <x v="0"/>
    <x v="0"/>
    <x v="3"/>
    <x v="3"/>
    <x v="159"/>
    <x v="47"/>
    <x v="400"/>
    <x v="420"/>
    <x v="342"/>
  </r>
  <r>
    <x v="425"/>
    <x v="1"/>
    <x v="1"/>
    <x v="1"/>
    <x v="1"/>
    <x v="1"/>
    <x v="1"/>
    <x v="0"/>
    <x v="0"/>
    <x v="65"/>
    <x v="26"/>
    <x v="401"/>
    <x v="421"/>
    <x v="343"/>
  </r>
  <r>
    <x v="426"/>
    <x v="0"/>
    <x v="0"/>
    <x v="0"/>
    <x v="0"/>
    <x v="0"/>
    <x v="0"/>
    <x v="2"/>
    <x v="2"/>
    <x v="3"/>
    <x v="61"/>
    <x v="402"/>
    <x v="422"/>
    <x v="240"/>
  </r>
  <r>
    <x v="427"/>
    <x v="1"/>
    <x v="1"/>
    <x v="4"/>
    <x v="4"/>
    <x v="3"/>
    <x v="3"/>
    <x v="3"/>
    <x v="3"/>
    <x v="21"/>
    <x v="42"/>
    <x v="403"/>
    <x v="423"/>
    <x v="340"/>
  </r>
  <r>
    <x v="428"/>
    <x v="2"/>
    <x v="2"/>
    <x v="2"/>
    <x v="2"/>
    <x v="1"/>
    <x v="1"/>
    <x v="0"/>
    <x v="0"/>
    <x v="106"/>
    <x v="50"/>
    <x v="404"/>
    <x v="424"/>
    <x v="344"/>
  </r>
  <r>
    <x v="429"/>
    <x v="0"/>
    <x v="0"/>
    <x v="7"/>
    <x v="7"/>
    <x v="0"/>
    <x v="0"/>
    <x v="4"/>
    <x v="4"/>
    <x v="160"/>
    <x v="42"/>
    <x v="405"/>
    <x v="425"/>
    <x v="345"/>
  </r>
  <r>
    <x v="430"/>
    <x v="0"/>
    <x v="0"/>
    <x v="5"/>
    <x v="5"/>
    <x v="3"/>
    <x v="3"/>
    <x v="3"/>
    <x v="3"/>
    <x v="82"/>
    <x v="54"/>
    <x v="406"/>
    <x v="426"/>
    <x v="346"/>
  </r>
  <r>
    <x v="431"/>
    <x v="1"/>
    <x v="1"/>
    <x v="5"/>
    <x v="5"/>
    <x v="3"/>
    <x v="3"/>
    <x v="2"/>
    <x v="2"/>
    <x v="95"/>
    <x v="27"/>
    <x v="407"/>
    <x v="427"/>
    <x v="347"/>
  </r>
  <r>
    <x v="432"/>
    <x v="2"/>
    <x v="2"/>
    <x v="2"/>
    <x v="2"/>
    <x v="1"/>
    <x v="1"/>
    <x v="0"/>
    <x v="0"/>
    <x v="27"/>
    <x v="18"/>
    <x v="408"/>
    <x v="428"/>
    <x v="254"/>
  </r>
  <r>
    <x v="433"/>
    <x v="3"/>
    <x v="3"/>
    <x v="5"/>
    <x v="5"/>
    <x v="3"/>
    <x v="3"/>
    <x v="2"/>
    <x v="2"/>
    <x v="107"/>
    <x v="40"/>
    <x v="409"/>
    <x v="429"/>
    <x v="111"/>
  </r>
  <r>
    <x v="434"/>
    <x v="1"/>
    <x v="1"/>
    <x v="1"/>
    <x v="1"/>
    <x v="1"/>
    <x v="1"/>
    <x v="1"/>
    <x v="1"/>
    <x v="64"/>
    <x v="48"/>
    <x v="410"/>
    <x v="430"/>
    <x v="60"/>
  </r>
  <r>
    <x v="435"/>
    <x v="2"/>
    <x v="2"/>
    <x v="6"/>
    <x v="6"/>
    <x v="2"/>
    <x v="2"/>
    <x v="0"/>
    <x v="0"/>
    <x v="87"/>
    <x v="0"/>
    <x v="411"/>
    <x v="431"/>
    <x v="348"/>
  </r>
  <r>
    <x v="436"/>
    <x v="2"/>
    <x v="2"/>
    <x v="0"/>
    <x v="0"/>
    <x v="0"/>
    <x v="0"/>
    <x v="3"/>
    <x v="3"/>
    <x v="128"/>
    <x v="61"/>
    <x v="412"/>
    <x v="432"/>
    <x v="349"/>
  </r>
  <r>
    <x v="437"/>
    <x v="2"/>
    <x v="2"/>
    <x v="0"/>
    <x v="0"/>
    <x v="0"/>
    <x v="0"/>
    <x v="0"/>
    <x v="0"/>
    <x v="129"/>
    <x v="5"/>
    <x v="413"/>
    <x v="433"/>
    <x v="350"/>
  </r>
  <r>
    <x v="438"/>
    <x v="1"/>
    <x v="1"/>
    <x v="2"/>
    <x v="2"/>
    <x v="1"/>
    <x v="1"/>
    <x v="0"/>
    <x v="0"/>
    <x v="54"/>
    <x v="20"/>
    <x v="414"/>
    <x v="434"/>
    <x v="351"/>
  </r>
  <r>
    <x v="439"/>
    <x v="3"/>
    <x v="3"/>
    <x v="1"/>
    <x v="1"/>
    <x v="1"/>
    <x v="1"/>
    <x v="0"/>
    <x v="0"/>
    <x v="4"/>
    <x v="70"/>
    <x v="415"/>
    <x v="435"/>
    <x v="352"/>
  </r>
  <r>
    <x v="440"/>
    <x v="1"/>
    <x v="1"/>
    <x v="5"/>
    <x v="5"/>
    <x v="3"/>
    <x v="3"/>
    <x v="4"/>
    <x v="4"/>
    <x v="85"/>
    <x v="43"/>
    <x v="416"/>
    <x v="436"/>
    <x v="175"/>
  </r>
  <r>
    <x v="441"/>
    <x v="0"/>
    <x v="0"/>
    <x v="1"/>
    <x v="1"/>
    <x v="1"/>
    <x v="1"/>
    <x v="3"/>
    <x v="3"/>
    <x v="161"/>
    <x v="56"/>
    <x v="417"/>
    <x v="437"/>
    <x v="353"/>
  </r>
  <r>
    <x v="442"/>
    <x v="3"/>
    <x v="3"/>
    <x v="7"/>
    <x v="7"/>
    <x v="0"/>
    <x v="0"/>
    <x v="2"/>
    <x v="2"/>
    <x v="38"/>
    <x v="61"/>
    <x v="418"/>
    <x v="438"/>
    <x v="119"/>
  </r>
  <r>
    <x v="443"/>
    <x v="2"/>
    <x v="2"/>
    <x v="1"/>
    <x v="1"/>
    <x v="1"/>
    <x v="1"/>
    <x v="1"/>
    <x v="1"/>
    <x v="124"/>
    <x v="1"/>
    <x v="419"/>
    <x v="439"/>
    <x v="109"/>
  </r>
  <r>
    <x v="444"/>
    <x v="2"/>
    <x v="2"/>
    <x v="1"/>
    <x v="1"/>
    <x v="1"/>
    <x v="1"/>
    <x v="1"/>
    <x v="1"/>
    <x v="162"/>
    <x v="23"/>
    <x v="420"/>
    <x v="440"/>
    <x v="8"/>
  </r>
  <r>
    <x v="445"/>
    <x v="2"/>
    <x v="2"/>
    <x v="7"/>
    <x v="7"/>
    <x v="0"/>
    <x v="0"/>
    <x v="1"/>
    <x v="1"/>
    <x v="121"/>
    <x v="69"/>
    <x v="421"/>
    <x v="441"/>
    <x v="354"/>
  </r>
  <r>
    <x v="446"/>
    <x v="2"/>
    <x v="2"/>
    <x v="4"/>
    <x v="4"/>
    <x v="3"/>
    <x v="3"/>
    <x v="1"/>
    <x v="1"/>
    <x v="91"/>
    <x v="4"/>
    <x v="422"/>
    <x v="442"/>
    <x v="332"/>
  </r>
  <r>
    <x v="447"/>
    <x v="0"/>
    <x v="0"/>
    <x v="6"/>
    <x v="6"/>
    <x v="2"/>
    <x v="2"/>
    <x v="3"/>
    <x v="3"/>
    <x v="156"/>
    <x v="30"/>
    <x v="386"/>
    <x v="443"/>
    <x v="355"/>
  </r>
  <r>
    <x v="448"/>
    <x v="1"/>
    <x v="1"/>
    <x v="4"/>
    <x v="4"/>
    <x v="3"/>
    <x v="3"/>
    <x v="1"/>
    <x v="1"/>
    <x v="128"/>
    <x v="33"/>
    <x v="423"/>
    <x v="444"/>
    <x v="356"/>
  </r>
  <r>
    <x v="449"/>
    <x v="0"/>
    <x v="0"/>
    <x v="2"/>
    <x v="2"/>
    <x v="1"/>
    <x v="1"/>
    <x v="2"/>
    <x v="2"/>
    <x v="41"/>
    <x v="36"/>
    <x v="247"/>
    <x v="445"/>
    <x v="357"/>
  </r>
  <r>
    <x v="450"/>
    <x v="2"/>
    <x v="2"/>
    <x v="2"/>
    <x v="2"/>
    <x v="1"/>
    <x v="1"/>
    <x v="0"/>
    <x v="0"/>
    <x v="109"/>
    <x v="2"/>
    <x v="424"/>
    <x v="446"/>
    <x v="358"/>
  </r>
  <r>
    <x v="451"/>
    <x v="0"/>
    <x v="0"/>
    <x v="3"/>
    <x v="3"/>
    <x v="2"/>
    <x v="2"/>
    <x v="4"/>
    <x v="4"/>
    <x v="163"/>
    <x v="62"/>
    <x v="425"/>
    <x v="447"/>
    <x v="359"/>
  </r>
  <r>
    <x v="452"/>
    <x v="3"/>
    <x v="3"/>
    <x v="7"/>
    <x v="7"/>
    <x v="0"/>
    <x v="0"/>
    <x v="3"/>
    <x v="3"/>
    <x v="80"/>
    <x v="13"/>
    <x v="408"/>
    <x v="448"/>
    <x v="325"/>
  </r>
  <r>
    <x v="453"/>
    <x v="1"/>
    <x v="1"/>
    <x v="7"/>
    <x v="7"/>
    <x v="0"/>
    <x v="0"/>
    <x v="0"/>
    <x v="0"/>
    <x v="68"/>
    <x v="26"/>
    <x v="426"/>
    <x v="449"/>
    <x v="206"/>
  </r>
  <r>
    <x v="454"/>
    <x v="1"/>
    <x v="1"/>
    <x v="6"/>
    <x v="6"/>
    <x v="2"/>
    <x v="2"/>
    <x v="0"/>
    <x v="0"/>
    <x v="30"/>
    <x v="47"/>
    <x v="140"/>
    <x v="450"/>
    <x v="360"/>
  </r>
  <r>
    <x v="455"/>
    <x v="1"/>
    <x v="1"/>
    <x v="7"/>
    <x v="7"/>
    <x v="0"/>
    <x v="0"/>
    <x v="0"/>
    <x v="0"/>
    <x v="8"/>
    <x v="44"/>
    <x v="427"/>
    <x v="451"/>
    <x v="361"/>
  </r>
  <r>
    <x v="456"/>
    <x v="2"/>
    <x v="2"/>
    <x v="3"/>
    <x v="3"/>
    <x v="2"/>
    <x v="2"/>
    <x v="1"/>
    <x v="1"/>
    <x v="146"/>
    <x v="48"/>
    <x v="428"/>
    <x v="452"/>
    <x v="362"/>
  </r>
  <r>
    <x v="457"/>
    <x v="3"/>
    <x v="3"/>
    <x v="7"/>
    <x v="7"/>
    <x v="0"/>
    <x v="0"/>
    <x v="3"/>
    <x v="3"/>
    <x v="77"/>
    <x v="15"/>
    <x v="429"/>
    <x v="453"/>
    <x v="64"/>
  </r>
  <r>
    <x v="458"/>
    <x v="3"/>
    <x v="3"/>
    <x v="7"/>
    <x v="7"/>
    <x v="0"/>
    <x v="0"/>
    <x v="2"/>
    <x v="2"/>
    <x v="153"/>
    <x v="40"/>
    <x v="430"/>
    <x v="454"/>
    <x v="363"/>
  </r>
  <r>
    <x v="459"/>
    <x v="1"/>
    <x v="1"/>
    <x v="3"/>
    <x v="3"/>
    <x v="2"/>
    <x v="2"/>
    <x v="3"/>
    <x v="3"/>
    <x v="154"/>
    <x v="52"/>
    <x v="287"/>
    <x v="455"/>
    <x v="364"/>
  </r>
  <r>
    <x v="460"/>
    <x v="0"/>
    <x v="0"/>
    <x v="7"/>
    <x v="7"/>
    <x v="0"/>
    <x v="0"/>
    <x v="0"/>
    <x v="0"/>
    <x v="144"/>
    <x v="50"/>
    <x v="431"/>
    <x v="456"/>
    <x v="365"/>
  </r>
  <r>
    <x v="461"/>
    <x v="0"/>
    <x v="0"/>
    <x v="1"/>
    <x v="1"/>
    <x v="1"/>
    <x v="1"/>
    <x v="3"/>
    <x v="3"/>
    <x v="21"/>
    <x v="69"/>
    <x v="432"/>
    <x v="457"/>
    <x v="366"/>
  </r>
  <r>
    <x v="462"/>
    <x v="3"/>
    <x v="3"/>
    <x v="0"/>
    <x v="0"/>
    <x v="0"/>
    <x v="0"/>
    <x v="1"/>
    <x v="1"/>
    <x v="139"/>
    <x v="39"/>
    <x v="433"/>
    <x v="458"/>
    <x v="156"/>
  </r>
  <r>
    <x v="463"/>
    <x v="3"/>
    <x v="3"/>
    <x v="0"/>
    <x v="0"/>
    <x v="0"/>
    <x v="0"/>
    <x v="2"/>
    <x v="2"/>
    <x v="94"/>
    <x v="45"/>
    <x v="57"/>
    <x v="459"/>
    <x v="362"/>
  </r>
  <r>
    <x v="464"/>
    <x v="3"/>
    <x v="3"/>
    <x v="1"/>
    <x v="1"/>
    <x v="1"/>
    <x v="1"/>
    <x v="0"/>
    <x v="0"/>
    <x v="96"/>
    <x v="25"/>
    <x v="434"/>
    <x v="460"/>
    <x v="35"/>
  </r>
  <r>
    <x v="465"/>
    <x v="2"/>
    <x v="2"/>
    <x v="2"/>
    <x v="2"/>
    <x v="1"/>
    <x v="1"/>
    <x v="1"/>
    <x v="1"/>
    <x v="164"/>
    <x v="22"/>
    <x v="435"/>
    <x v="461"/>
    <x v="367"/>
  </r>
  <r>
    <x v="466"/>
    <x v="2"/>
    <x v="2"/>
    <x v="4"/>
    <x v="4"/>
    <x v="3"/>
    <x v="3"/>
    <x v="3"/>
    <x v="3"/>
    <x v="120"/>
    <x v="52"/>
    <x v="436"/>
    <x v="462"/>
    <x v="368"/>
  </r>
  <r>
    <x v="467"/>
    <x v="1"/>
    <x v="1"/>
    <x v="3"/>
    <x v="3"/>
    <x v="2"/>
    <x v="2"/>
    <x v="3"/>
    <x v="3"/>
    <x v="83"/>
    <x v="15"/>
    <x v="437"/>
    <x v="463"/>
    <x v="369"/>
  </r>
  <r>
    <x v="468"/>
    <x v="0"/>
    <x v="0"/>
    <x v="1"/>
    <x v="1"/>
    <x v="1"/>
    <x v="1"/>
    <x v="4"/>
    <x v="4"/>
    <x v="6"/>
    <x v="70"/>
    <x v="438"/>
    <x v="464"/>
    <x v="315"/>
  </r>
  <r>
    <x v="469"/>
    <x v="2"/>
    <x v="2"/>
    <x v="5"/>
    <x v="5"/>
    <x v="3"/>
    <x v="3"/>
    <x v="0"/>
    <x v="0"/>
    <x v="130"/>
    <x v="68"/>
    <x v="439"/>
    <x v="465"/>
    <x v="370"/>
  </r>
  <r>
    <x v="470"/>
    <x v="2"/>
    <x v="2"/>
    <x v="3"/>
    <x v="3"/>
    <x v="2"/>
    <x v="2"/>
    <x v="4"/>
    <x v="4"/>
    <x v="19"/>
    <x v="54"/>
    <x v="440"/>
    <x v="466"/>
    <x v="371"/>
  </r>
  <r>
    <x v="471"/>
    <x v="0"/>
    <x v="0"/>
    <x v="1"/>
    <x v="1"/>
    <x v="1"/>
    <x v="1"/>
    <x v="4"/>
    <x v="4"/>
    <x v="129"/>
    <x v="42"/>
    <x v="441"/>
    <x v="467"/>
    <x v="223"/>
  </r>
  <r>
    <x v="472"/>
    <x v="2"/>
    <x v="2"/>
    <x v="6"/>
    <x v="6"/>
    <x v="2"/>
    <x v="2"/>
    <x v="3"/>
    <x v="3"/>
    <x v="55"/>
    <x v="38"/>
    <x v="442"/>
    <x v="468"/>
    <x v="266"/>
  </r>
  <r>
    <x v="473"/>
    <x v="3"/>
    <x v="3"/>
    <x v="2"/>
    <x v="2"/>
    <x v="1"/>
    <x v="1"/>
    <x v="1"/>
    <x v="1"/>
    <x v="108"/>
    <x v="25"/>
    <x v="443"/>
    <x v="469"/>
    <x v="45"/>
  </r>
  <r>
    <x v="474"/>
    <x v="2"/>
    <x v="2"/>
    <x v="7"/>
    <x v="7"/>
    <x v="0"/>
    <x v="0"/>
    <x v="1"/>
    <x v="1"/>
    <x v="165"/>
    <x v="37"/>
    <x v="444"/>
    <x v="470"/>
    <x v="359"/>
  </r>
  <r>
    <x v="475"/>
    <x v="3"/>
    <x v="3"/>
    <x v="2"/>
    <x v="2"/>
    <x v="1"/>
    <x v="1"/>
    <x v="0"/>
    <x v="0"/>
    <x v="166"/>
    <x v="59"/>
    <x v="445"/>
    <x v="471"/>
    <x v="372"/>
  </r>
  <r>
    <x v="476"/>
    <x v="2"/>
    <x v="2"/>
    <x v="0"/>
    <x v="0"/>
    <x v="0"/>
    <x v="0"/>
    <x v="3"/>
    <x v="3"/>
    <x v="6"/>
    <x v="22"/>
    <x v="446"/>
    <x v="472"/>
    <x v="79"/>
  </r>
  <r>
    <x v="477"/>
    <x v="3"/>
    <x v="3"/>
    <x v="1"/>
    <x v="1"/>
    <x v="1"/>
    <x v="1"/>
    <x v="2"/>
    <x v="2"/>
    <x v="80"/>
    <x v="26"/>
    <x v="447"/>
    <x v="473"/>
    <x v="369"/>
  </r>
  <r>
    <x v="478"/>
    <x v="1"/>
    <x v="1"/>
    <x v="4"/>
    <x v="4"/>
    <x v="3"/>
    <x v="3"/>
    <x v="3"/>
    <x v="3"/>
    <x v="41"/>
    <x v="19"/>
    <x v="448"/>
    <x v="474"/>
    <x v="373"/>
  </r>
  <r>
    <x v="479"/>
    <x v="2"/>
    <x v="2"/>
    <x v="2"/>
    <x v="2"/>
    <x v="1"/>
    <x v="1"/>
    <x v="3"/>
    <x v="3"/>
    <x v="4"/>
    <x v="18"/>
    <x v="449"/>
    <x v="475"/>
    <x v="197"/>
  </r>
  <r>
    <x v="480"/>
    <x v="0"/>
    <x v="0"/>
    <x v="2"/>
    <x v="2"/>
    <x v="1"/>
    <x v="1"/>
    <x v="4"/>
    <x v="4"/>
    <x v="118"/>
    <x v="64"/>
    <x v="450"/>
    <x v="476"/>
    <x v="26"/>
  </r>
  <r>
    <x v="481"/>
    <x v="3"/>
    <x v="3"/>
    <x v="3"/>
    <x v="3"/>
    <x v="2"/>
    <x v="2"/>
    <x v="3"/>
    <x v="3"/>
    <x v="144"/>
    <x v="55"/>
    <x v="451"/>
    <x v="477"/>
    <x v="374"/>
  </r>
  <r>
    <x v="482"/>
    <x v="3"/>
    <x v="3"/>
    <x v="3"/>
    <x v="3"/>
    <x v="2"/>
    <x v="2"/>
    <x v="1"/>
    <x v="1"/>
    <x v="102"/>
    <x v="25"/>
    <x v="452"/>
    <x v="478"/>
    <x v="375"/>
  </r>
  <r>
    <x v="483"/>
    <x v="3"/>
    <x v="3"/>
    <x v="5"/>
    <x v="5"/>
    <x v="3"/>
    <x v="3"/>
    <x v="1"/>
    <x v="1"/>
    <x v="167"/>
    <x v="11"/>
    <x v="453"/>
    <x v="479"/>
    <x v="376"/>
  </r>
  <r>
    <x v="484"/>
    <x v="3"/>
    <x v="3"/>
    <x v="5"/>
    <x v="5"/>
    <x v="3"/>
    <x v="3"/>
    <x v="4"/>
    <x v="4"/>
    <x v="163"/>
    <x v="47"/>
    <x v="454"/>
    <x v="480"/>
    <x v="220"/>
  </r>
  <r>
    <x v="485"/>
    <x v="1"/>
    <x v="1"/>
    <x v="2"/>
    <x v="2"/>
    <x v="1"/>
    <x v="1"/>
    <x v="4"/>
    <x v="4"/>
    <x v="90"/>
    <x v="58"/>
    <x v="455"/>
    <x v="481"/>
    <x v="97"/>
  </r>
  <r>
    <x v="486"/>
    <x v="2"/>
    <x v="2"/>
    <x v="7"/>
    <x v="7"/>
    <x v="0"/>
    <x v="0"/>
    <x v="2"/>
    <x v="2"/>
    <x v="69"/>
    <x v="55"/>
    <x v="456"/>
    <x v="482"/>
    <x v="377"/>
  </r>
  <r>
    <x v="487"/>
    <x v="1"/>
    <x v="1"/>
    <x v="7"/>
    <x v="7"/>
    <x v="0"/>
    <x v="0"/>
    <x v="0"/>
    <x v="0"/>
    <x v="167"/>
    <x v="69"/>
    <x v="457"/>
    <x v="483"/>
    <x v="284"/>
  </r>
  <r>
    <x v="488"/>
    <x v="1"/>
    <x v="1"/>
    <x v="2"/>
    <x v="2"/>
    <x v="1"/>
    <x v="1"/>
    <x v="0"/>
    <x v="0"/>
    <x v="76"/>
    <x v="38"/>
    <x v="458"/>
    <x v="484"/>
    <x v="107"/>
  </r>
  <r>
    <x v="489"/>
    <x v="1"/>
    <x v="1"/>
    <x v="7"/>
    <x v="7"/>
    <x v="0"/>
    <x v="0"/>
    <x v="4"/>
    <x v="4"/>
    <x v="24"/>
    <x v="34"/>
    <x v="459"/>
    <x v="485"/>
    <x v="266"/>
  </r>
  <r>
    <x v="490"/>
    <x v="1"/>
    <x v="1"/>
    <x v="6"/>
    <x v="6"/>
    <x v="2"/>
    <x v="2"/>
    <x v="0"/>
    <x v="0"/>
    <x v="109"/>
    <x v="32"/>
    <x v="460"/>
    <x v="486"/>
    <x v="378"/>
  </r>
  <r>
    <x v="491"/>
    <x v="2"/>
    <x v="2"/>
    <x v="4"/>
    <x v="4"/>
    <x v="3"/>
    <x v="3"/>
    <x v="4"/>
    <x v="4"/>
    <x v="151"/>
    <x v="3"/>
    <x v="461"/>
    <x v="487"/>
    <x v="379"/>
  </r>
  <r>
    <x v="492"/>
    <x v="1"/>
    <x v="1"/>
    <x v="6"/>
    <x v="6"/>
    <x v="2"/>
    <x v="2"/>
    <x v="0"/>
    <x v="0"/>
    <x v="47"/>
    <x v="26"/>
    <x v="343"/>
    <x v="488"/>
    <x v="159"/>
  </r>
  <r>
    <x v="493"/>
    <x v="0"/>
    <x v="0"/>
    <x v="1"/>
    <x v="1"/>
    <x v="1"/>
    <x v="1"/>
    <x v="4"/>
    <x v="4"/>
    <x v="123"/>
    <x v="36"/>
    <x v="462"/>
    <x v="489"/>
    <x v="380"/>
  </r>
  <r>
    <x v="494"/>
    <x v="0"/>
    <x v="0"/>
    <x v="3"/>
    <x v="3"/>
    <x v="2"/>
    <x v="2"/>
    <x v="4"/>
    <x v="4"/>
    <x v="131"/>
    <x v="65"/>
    <x v="463"/>
    <x v="490"/>
    <x v="303"/>
  </r>
  <r>
    <x v="495"/>
    <x v="0"/>
    <x v="0"/>
    <x v="2"/>
    <x v="2"/>
    <x v="1"/>
    <x v="1"/>
    <x v="0"/>
    <x v="0"/>
    <x v="105"/>
    <x v="63"/>
    <x v="464"/>
    <x v="491"/>
    <x v="381"/>
  </r>
  <r>
    <x v="496"/>
    <x v="2"/>
    <x v="2"/>
    <x v="4"/>
    <x v="4"/>
    <x v="3"/>
    <x v="3"/>
    <x v="4"/>
    <x v="4"/>
    <x v="24"/>
    <x v="25"/>
    <x v="465"/>
    <x v="492"/>
    <x v="382"/>
  </r>
  <r>
    <x v="497"/>
    <x v="0"/>
    <x v="0"/>
    <x v="5"/>
    <x v="5"/>
    <x v="3"/>
    <x v="3"/>
    <x v="0"/>
    <x v="0"/>
    <x v="89"/>
    <x v="35"/>
    <x v="466"/>
    <x v="493"/>
    <x v="201"/>
  </r>
  <r>
    <x v="498"/>
    <x v="0"/>
    <x v="0"/>
    <x v="0"/>
    <x v="0"/>
    <x v="0"/>
    <x v="0"/>
    <x v="1"/>
    <x v="1"/>
    <x v="163"/>
    <x v="17"/>
    <x v="251"/>
    <x v="494"/>
    <x v="383"/>
  </r>
  <r>
    <x v="499"/>
    <x v="3"/>
    <x v="3"/>
    <x v="5"/>
    <x v="5"/>
    <x v="3"/>
    <x v="3"/>
    <x v="1"/>
    <x v="1"/>
    <x v="99"/>
    <x v="11"/>
    <x v="467"/>
    <x v="495"/>
    <x v="50"/>
  </r>
  <r>
    <x v="500"/>
    <x v="2"/>
    <x v="2"/>
    <x v="3"/>
    <x v="3"/>
    <x v="2"/>
    <x v="2"/>
    <x v="3"/>
    <x v="3"/>
    <x v="6"/>
    <x v="6"/>
    <x v="6"/>
    <x v="6"/>
    <x v="6"/>
  </r>
  <r>
    <x v="501"/>
    <x v="1"/>
    <x v="1"/>
    <x v="3"/>
    <x v="3"/>
    <x v="2"/>
    <x v="2"/>
    <x v="3"/>
    <x v="3"/>
    <x v="7"/>
    <x v="7"/>
    <x v="7"/>
    <x v="7"/>
    <x v="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3E6B165-B6C7-4809-BC34-291F7791BC59}"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9" rowHeaderCaption="Region" colHeaderCaption="">
  <location ref="G12:I16" firstHeaderRow="0" firstDataRow="1" firstDataCol="1"/>
  <pivotFields count="17">
    <pivotField numFmtId="14" showAll="0">
      <items count="50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t="default"/>
      </items>
    </pivotField>
    <pivotField showAll="0"/>
    <pivotField axis="axisRow" showAll="0">
      <items count="5">
        <item x="0"/>
        <item x="3"/>
        <item x="1"/>
        <item x="2"/>
        <item t="default"/>
      </items>
    </pivotField>
    <pivotField showAll="0"/>
    <pivotField showAll="0"/>
    <pivotField showAll="0"/>
    <pivotField showAll="0">
      <items count="5">
        <item x="3"/>
        <item x="0"/>
        <item x="1"/>
        <item x="2"/>
        <item t="default"/>
      </items>
    </pivotField>
    <pivotField showAll="0"/>
    <pivotField showAll="0">
      <items count="6">
        <item x="4"/>
        <item x="1"/>
        <item x="2"/>
        <item x="3"/>
        <item x="0"/>
        <item t="default"/>
      </items>
    </pivotField>
    <pivotField dataField="1" numFmtId="1" showAll="0"/>
    <pivotField showAll="0"/>
    <pivotField showAll="0"/>
    <pivotField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h="1" sd="0" x="0"/>
        <item sd="0" x="1"/>
        <item sd="0" x="2"/>
        <item h="1" sd="0" x="3"/>
        <item t="default"/>
      </items>
    </pivotField>
  </pivotFields>
  <rowFields count="1">
    <field x="2"/>
  </rowFields>
  <rowItems count="4">
    <i>
      <x/>
    </i>
    <i>
      <x v="1"/>
    </i>
    <i>
      <x v="2"/>
    </i>
    <i>
      <x v="3"/>
    </i>
  </rowItems>
  <colFields count="1">
    <field x="-2"/>
  </colFields>
  <colItems count="2">
    <i>
      <x/>
    </i>
    <i i="1">
      <x v="1"/>
    </i>
  </colItems>
  <dataFields count="2">
    <dataField name="Quantity Sold" fld="9" baseField="2" baseItem="0" numFmtId="3"/>
    <dataField name="Regional Profit" fld="13" baseField="2"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3A8F9BD-E824-4DAD-BA1A-A34F0DB69C67}" name="PivotTable2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3" rowHeaderCaption="Year" colHeaderCaption="">
  <location ref="J52:K54" firstHeaderRow="1" firstDataRow="1" firstDataCol="1"/>
  <pivotFields count="17">
    <pivotField numFmtId="14" showAll="0">
      <items count="50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t="default"/>
      </items>
    </pivotField>
    <pivotField showAll="0"/>
    <pivotField showAll="0">
      <items count="5">
        <item x="0"/>
        <item x="3"/>
        <item x="1"/>
        <item x="2"/>
        <item t="default"/>
      </items>
    </pivotField>
    <pivotField showAll="0"/>
    <pivotField showAll="0"/>
    <pivotField showAll="0"/>
    <pivotField showAll="0">
      <items count="5">
        <item x="3"/>
        <item x="0"/>
        <item x="1"/>
        <item x="2"/>
        <item t="default"/>
      </items>
    </pivotField>
    <pivotField showAll="0"/>
    <pivotField showAll="0">
      <items count="6">
        <item x="4"/>
        <item x="1"/>
        <item x="2"/>
        <item x="3"/>
        <item x="0"/>
        <item t="default"/>
      </items>
    </pivotField>
    <pivotField numFmtId="1" showAll="0"/>
    <pivotField showAll="0"/>
    <pivotField showAll="0"/>
    <pivotField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defaultSubtotal="0">
      <items count="4">
        <item h="1" sd="0" x="0"/>
        <item sd="0" x="1"/>
        <item sd="0" x="2"/>
        <item h="1" sd="0" x="3"/>
      </items>
    </pivotField>
  </pivotFields>
  <rowFields count="1">
    <field x="16"/>
  </rowFields>
  <rowItems count="2">
    <i>
      <x v="1"/>
    </i>
    <i>
      <x v="2"/>
    </i>
  </rowItems>
  <colItems count="1">
    <i/>
  </colItems>
  <dataFields count="1">
    <dataField name="SumProfit" fld="13" baseField="0" baseItem="0" numFmtId="167"/>
  </dataFields>
  <formats count="2">
    <format dxfId="37">
      <pivotArea outline="0" collapsedLevelsAreSubtotals="1" fieldPosition="0"/>
    </format>
    <format dxfId="36">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9B284F6-F82A-4956-860E-73CA704F6EA3}" name="PivotTable4"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2">
  <location ref="D4:E8" firstHeaderRow="1" firstDataRow="1" firstDataCol="1"/>
  <pivotFields count="17">
    <pivotField numFmtId="14" showAll="0">
      <items count="50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t="default"/>
      </items>
    </pivotField>
    <pivotField showAll="0"/>
    <pivotField showAll="0"/>
    <pivotField showAll="0"/>
    <pivotField showAll="0" sortType="descending">
      <items count="9">
        <item x="6"/>
        <item x="5"/>
        <item x="4"/>
        <item x="3"/>
        <item x="2"/>
        <item x="7"/>
        <item x="0"/>
        <item x="1"/>
        <item t="default"/>
      </items>
      <autoSortScope>
        <pivotArea dataOnly="0" outline="0" fieldPosition="0">
          <references count="1">
            <reference field="4294967294" count="1" selected="0">
              <x v="0"/>
            </reference>
          </references>
        </pivotArea>
      </autoSortScope>
    </pivotField>
    <pivotField showAll="0"/>
    <pivotField axis="axisRow" showAll="0" sortType="descending">
      <items count="5">
        <item x="2"/>
        <item x="1"/>
        <item x="0"/>
        <item x="3"/>
        <item t="default"/>
      </items>
      <autoSortScope>
        <pivotArea dataOnly="0" outline="0" fieldPosition="0">
          <references count="1">
            <reference field="4294967294" count="1" selected="0">
              <x v="0"/>
            </reference>
          </references>
        </pivotArea>
      </autoSortScope>
    </pivotField>
    <pivotField showAll="0"/>
    <pivotField showAll="0">
      <items count="6">
        <item x="4"/>
        <item x="1"/>
        <item x="2"/>
        <item x="3"/>
        <item x="0"/>
        <item t="default"/>
      </items>
    </pivotField>
    <pivotField numFmtId="1" showAll="0"/>
    <pivotField showAll="0"/>
    <pivotField dataField="1"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h="1" sd="0" x="0"/>
        <item sd="0" x="1"/>
        <item sd="0" x="2"/>
        <item h="1" sd="0" x="3"/>
        <item t="default"/>
      </items>
    </pivotField>
  </pivotFields>
  <rowFields count="1">
    <field x="6"/>
  </rowFields>
  <rowItems count="4">
    <i>
      <x v="1"/>
    </i>
    <i>
      <x/>
    </i>
    <i>
      <x v="2"/>
    </i>
    <i>
      <x v="3"/>
    </i>
  </rowItems>
  <colItems count="1">
    <i/>
  </colItems>
  <dataFields count="1">
    <dataField name="Category Revenue" fld="11" baseField="6" baseItem="1" numFmtId="168"/>
  </dataFields>
  <chartFormats count="2">
    <chartFormat chart="2" format="2"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2331763-611A-48FC-9EDF-AD30865F86A5}" name="PivotTable1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3" rowHeaderCaption="Year" colHeaderCaption="">
  <location ref="J34:K36" firstHeaderRow="1" firstDataRow="1" firstDataCol="1"/>
  <pivotFields count="17">
    <pivotField numFmtId="14" showAll="0">
      <items count="50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t="default"/>
      </items>
    </pivotField>
    <pivotField showAll="0"/>
    <pivotField showAll="0">
      <items count="5">
        <item x="0"/>
        <item x="3"/>
        <item x="1"/>
        <item x="2"/>
        <item t="default"/>
      </items>
    </pivotField>
    <pivotField showAll="0"/>
    <pivotField showAll="0"/>
    <pivotField showAll="0"/>
    <pivotField showAll="0">
      <items count="5">
        <item x="3"/>
        <item x="0"/>
        <item x="1"/>
        <item x="2"/>
        <item t="default"/>
      </items>
    </pivotField>
    <pivotField showAll="0"/>
    <pivotField showAll="0">
      <items count="6">
        <item x="4"/>
        <item x="1"/>
        <item x="2"/>
        <item x="3"/>
        <item x="0"/>
        <item t="default"/>
      </items>
    </pivotField>
    <pivotField numFmtId="1" showAll="0"/>
    <pivotField showAll="0"/>
    <pivotField dataField="1"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defaultSubtotal="0">
      <items count="4">
        <item h="1" sd="0" x="0"/>
        <item sd="0" x="1"/>
        <item sd="0" x="2"/>
        <item h="1" sd="0" x="3"/>
      </items>
    </pivotField>
  </pivotFields>
  <rowFields count="1">
    <field x="16"/>
  </rowFields>
  <rowItems count="2">
    <i>
      <x v="1"/>
    </i>
    <i>
      <x v="2"/>
    </i>
  </rowItems>
  <colItems count="1">
    <i/>
  </colItems>
  <dataFields count="1">
    <dataField name="Total Revenue" fld="11" baseField="16" baseItem="1"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0228532-A987-4DE4-B673-2FC93C118061}"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3" rowHeaderCaption="Region" colHeaderCaption="">
  <location ref="D11:E15" firstHeaderRow="1" firstDataRow="1" firstDataCol="1"/>
  <pivotFields count="17">
    <pivotField numFmtId="14" showAll="0">
      <items count="50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t="default"/>
      </items>
    </pivotField>
    <pivotField showAll="0"/>
    <pivotField axis="axisRow" showAll="0">
      <items count="5">
        <item x="0"/>
        <item x="3"/>
        <item x="1"/>
        <item x="2"/>
        <item t="default"/>
      </items>
    </pivotField>
    <pivotField showAll="0"/>
    <pivotField showAll="0"/>
    <pivotField showAll="0"/>
    <pivotField showAll="0">
      <items count="5">
        <item x="3"/>
        <item x="0"/>
        <item x="1"/>
        <item x="2"/>
        <item t="default"/>
      </items>
    </pivotField>
    <pivotField showAll="0"/>
    <pivotField showAll="0">
      <items count="6">
        <item x="4"/>
        <item x="1"/>
        <item x="2"/>
        <item x="3"/>
        <item x="0"/>
        <item t="default"/>
      </items>
    </pivotField>
    <pivotField numFmtId="1" showAll="0"/>
    <pivotField showAll="0"/>
    <pivotField dataField="1"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h="1" sd="0" x="0"/>
        <item sd="0" x="1"/>
        <item sd="0" x="2"/>
        <item h="1" sd="0" x="3"/>
        <item t="default"/>
      </items>
    </pivotField>
  </pivotFields>
  <rowFields count="1">
    <field x="2"/>
  </rowFields>
  <rowItems count="4">
    <i>
      <x/>
    </i>
    <i>
      <x v="1"/>
    </i>
    <i>
      <x v="2"/>
    </i>
    <i>
      <x v="3"/>
    </i>
  </rowItems>
  <colItems count="1">
    <i/>
  </colItems>
  <dataFields count="1">
    <dataField name="Region Revenue" fld="11" baseField="2" baseItem="0" numFmtId="168"/>
  </dataFields>
  <chartFormats count="15">
    <chartFormat chart="7" format="10" series="1">
      <pivotArea type="data" outline="0" fieldPosition="0">
        <references count="1">
          <reference field="4294967294" count="1" selected="0">
            <x v="0"/>
          </reference>
        </references>
      </pivotArea>
    </chartFormat>
    <chartFormat chart="7" format="11">
      <pivotArea type="data" outline="0" fieldPosition="0">
        <references count="2">
          <reference field="4294967294" count="1" selected="0">
            <x v="0"/>
          </reference>
          <reference field="2" count="1" selected="0">
            <x v="0"/>
          </reference>
        </references>
      </pivotArea>
    </chartFormat>
    <chartFormat chart="7" format="12">
      <pivotArea type="data" outline="0" fieldPosition="0">
        <references count="2">
          <reference field="4294967294" count="1" selected="0">
            <x v="0"/>
          </reference>
          <reference field="2" count="1" selected="0">
            <x v="1"/>
          </reference>
        </references>
      </pivotArea>
    </chartFormat>
    <chartFormat chart="7" format="13">
      <pivotArea type="data" outline="0" fieldPosition="0">
        <references count="2">
          <reference field="4294967294" count="1" selected="0">
            <x v="0"/>
          </reference>
          <reference field="2" count="1" selected="0">
            <x v="2"/>
          </reference>
        </references>
      </pivotArea>
    </chartFormat>
    <chartFormat chart="7" format="14">
      <pivotArea type="data" outline="0" fieldPosition="0">
        <references count="2">
          <reference field="4294967294" count="1" selected="0">
            <x v="0"/>
          </reference>
          <reference field="2" count="1" selected="0">
            <x v="3"/>
          </reference>
        </references>
      </pivotArea>
    </chartFormat>
    <chartFormat chart="8" format="15" series="1">
      <pivotArea type="data" outline="0" fieldPosition="0">
        <references count="1">
          <reference field="4294967294" count="1" selected="0">
            <x v="0"/>
          </reference>
        </references>
      </pivotArea>
    </chartFormat>
    <chartFormat chart="8" format="16">
      <pivotArea type="data" outline="0" fieldPosition="0">
        <references count="2">
          <reference field="4294967294" count="1" selected="0">
            <x v="0"/>
          </reference>
          <reference field="2" count="1" selected="0">
            <x v="0"/>
          </reference>
        </references>
      </pivotArea>
    </chartFormat>
    <chartFormat chart="8" format="17">
      <pivotArea type="data" outline="0" fieldPosition="0">
        <references count="2">
          <reference field="4294967294" count="1" selected="0">
            <x v="0"/>
          </reference>
          <reference field="2" count="1" selected="0">
            <x v="1"/>
          </reference>
        </references>
      </pivotArea>
    </chartFormat>
    <chartFormat chart="8" format="18">
      <pivotArea type="data" outline="0" fieldPosition="0">
        <references count="2">
          <reference field="4294967294" count="1" selected="0">
            <x v="0"/>
          </reference>
          <reference field="2" count="1" selected="0">
            <x v="2"/>
          </reference>
        </references>
      </pivotArea>
    </chartFormat>
    <chartFormat chart="8" format="19">
      <pivotArea type="data" outline="0" fieldPosition="0">
        <references count="2">
          <reference field="4294967294" count="1" selected="0">
            <x v="0"/>
          </reference>
          <reference field="2" count="1" selected="0">
            <x v="3"/>
          </reference>
        </references>
      </pivotArea>
    </chartFormat>
    <chartFormat chart="10" format="25" series="1">
      <pivotArea type="data" outline="0" fieldPosition="0">
        <references count="1">
          <reference field="4294967294" count="1" selected="0">
            <x v="0"/>
          </reference>
        </references>
      </pivotArea>
    </chartFormat>
    <chartFormat chart="10" format="26">
      <pivotArea type="data" outline="0" fieldPosition="0">
        <references count="2">
          <reference field="4294967294" count="1" selected="0">
            <x v="0"/>
          </reference>
          <reference field="2" count="1" selected="0">
            <x v="0"/>
          </reference>
        </references>
      </pivotArea>
    </chartFormat>
    <chartFormat chart="10" format="27">
      <pivotArea type="data" outline="0" fieldPosition="0">
        <references count="2">
          <reference field="4294967294" count="1" selected="0">
            <x v="0"/>
          </reference>
          <reference field="2" count="1" selected="0">
            <x v="1"/>
          </reference>
        </references>
      </pivotArea>
    </chartFormat>
    <chartFormat chart="10" format="28">
      <pivotArea type="data" outline="0" fieldPosition="0">
        <references count="2">
          <reference field="4294967294" count="1" selected="0">
            <x v="0"/>
          </reference>
          <reference field="2" count="1" selected="0">
            <x v="2"/>
          </reference>
        </references>
      </pivotArea>
    </chartFormat>
    <chartFormat chart="10" format="29">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00CE6BB-9CEE-4C9B-8BDF-3801A5F92D2A}"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3" rowHeaderCaption="Region" colHeaderCaption="">
  <location ref="M27:N29" firstHeaderRow="1" firstDataRow="1" firstDataCol="1"/>
  <pivotFields count="17">
    <pivotField numFmtId="14" showAll="0">
      <items count="50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t="default"/>
      </items>
    </pivotField>
    <pivotField showAll="0"/>
    <pivotField showAll="0">
      <items count="5">
        <item x="0"/>
        <item x="3"/>
        <item x="1"/>
        <item x="2"/>
        <item t="default"/>
      </items>
    </pivotField>
    <pivotField showAll="0"/>
    <pivotField showAll="0"/>
    <pivotField showAll="0"/>
    <pivotField showAll="0">
      <items count="5">
        <item x="3"/>
        <item x="0"/>
        <item x="1"/>
        <item x="2"/>
        <item t="default"/>
      </items>
    </pivotField>
    <pivotField showAll="0"/>
    <pivotField showAll="0">
      <items count="6">
        <item x="4"/>
        <item x="1"/>
        <item x="2"/>
        <item x="3"/>
        <item x="0"/>
        <item t="default"/>
      </items>
    </pivotField>
    <pivotField numFmtId="1" showAll="0"/>
    <pivotField showAll="0"/>
    <pivotField dataField="1"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defaultSubtotal="0">
      <items count="4">
        <item h="1" sd="0" x="0"/>
        <item sd="0" x="1"/>
        <item sd="0" x="2"/>
        <item h="1" sd="0" x="3"/>
      </items>
    </pivotField>
  </pivotFields>
  <rowFields count="1">
    <field x="16"/>
  </rowFields>
  <rowItems count="2">
    <i>
      <x v="1"/>
    </i>
    <i>
      <x v="2"/>
    </i>
  </rowItems>
  <colItems count="1">
    <i/>
  </colItems>
  <dataFields count="1">
    <dataField name="Region Revenue" fld="11" baseField="2" baseItem="0" numFmtId="168"/>
  </dataFields>
  <chartFormats count="3">
    <chartFormat chart="7" format="10" series="1">
      <pivotArea type="data" outline="0" fieldPosition="0">
        <references count="1">
          <reference field="4294967294" count="1" selected="0">
            <x v="0"/>
          </reference>
        </references>
      </pivotArea>
    </chartFormat>
    <chartFormat chart="8" format="15" series="1">
      <pivotArea type="data" outline="0" fieldPosition="0">
        <references count="1">
          <reference field="4294967294" count="1" selected="0">
            <x v="0"/>
          </reference>
        </references>
      </pivotArea>
    </chartFormat>
    <chartFormat chart="10" format="2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81C3924-07A7-4C48-B399-9ECDFA5EF8C9}" name="PivotTable1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3" rowHeaderCaption="Region" colHeaderCaption="">
  <location ref="G43:H48" firstHeaderRow="1" firstDataRow="1" firstDataCol="1"/>
  <pivotFields count="17">
    <pivotField numFmtId="14" showAll="0">
      <items count="50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t="default"/>
      </items>
    </pivotField>
    <pivotField showAll="0"/>
    <pivotField showAll="0">
      <items count="5">
        <item x="0"/>
        <item x="3"/>
        <item x="1"/>
        <item x="2"/>
        <item t="default"/>
      </items>
    </pivotField>
    <pivotField showAll="0"/>
    <pivotField showAll="0"/>
    <pivotField showAll="0"/>
    <pivotField showAll="0">
      <items count="5">
        <item x="3"/>
        <item x="0"/>
        <item x="1"/>
        <item x="2"/>
        <item t="default"/>
      </items>
    </pivotField>
    <pivotField showAll="0"/>
    <pivotField axis="axisRow" showAll="0">
      <items count="6">
        <item x="4"/>
        <item x="1"/>
        <item x="2"/>
        <item x="3"/>
        <item x="0"/>
        <item t="default"/>
      </items>
    </pivotField>
    <pivotField numFmtId="1" showAll="0"/>
    <pivotField showAll="0"/>
    <pivotField dataField="1"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defaultSubtotal="0">
      <items count="4">
        <item h="1" sd="0" x="0"/>
        <item sd="0" x="1"/>
        <item sd="0" x="2"/>
        <item h="1" sd="0" x="3"/>
      </items>
    </pivotField>
  </pivotFields>
  <rowFields count="1">
    <field x="8"/>
  </rowFields>
  <rowItems count="5">
    <i>
      <x/>
    </i>
    <i>
      <x v="1"/>
    </i>
    <i>
      <x v="2"/>
    </i>
    <i>
      <x v="3"/>
    </i>
    <i>
      <x v="4"/>
    </i>
  </rowItems>
  <colItems count="1">
    <i/>
  </colItems>
  <dataFields count="1">
    <dataField name="S_rep Revenue" fld="11" baseField="8" baseItem="0" numFmtId="168"/>
  </dataFields>
  <chartFormats count="3">
    <chartFormat chart="7" format="10" series="1">
      <pivotArea type="data" outline="0" fieldPosition="0">
        <references count="1">
          <reference field="4294967294" count="1" selected="0">
            <x v="0"/>
          </reference>
        </references>
      </pivotArea>
    </chartFormat>
    <chartFormat chart="8" format="15" series="1">
      <pivotArea type="data" outline="0" fieldPosition="0">
        <references count="1">
          <reference field="4294967294" count="1" selected="0">
            <x v="0"/>
          </reference>
        </references>
      </pivotArea>
    </chartFormat>
    <chartFormat chart="10" format="2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D245E3F-BF46-4F9E-80C9-C73405F9025E}" name="PivotTable1"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6">
  <location ref="A3:B15" firstHeaderRow="1" firstDataRow="1" firstDataCol="1"/>
  <pivotFields count="17">
    <pivotField numFmtId="14" showAll="0">
      <items count="50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t="default"/>
      </items>
    </pivotField>
    <pivotField showAll="0">
      <items count="5">
        <item x="2"/>
        <item x="1"/>
        <item x="3"/>
        <item x="0"/>
        <item t="default"/>
      </items>
    </pivotField>
    <pivotField showAll="0">
      <items count="5">
        <item x="2"/>
        <item x="1"/>
        <item x="3"/>
        <item x="0"/>
        <item t="default"/>
      </items>
    </pivotField>
    <pivotField showAll="0">
      <items count="9">
        <item x="1"/>
        <item x="0"/>
        <item x="7"/>
        <item x="2"/>
        <item x="3"/>
        <item x="4"/>
        <item x="5"/>
        <item x="6"/>
        <item t="default"/>
      </items>
    </pivotField>
    <pivotField showAll="0">
      <items count="9">
        <item x="1"/>
        <item x="0"/>
        <item x="7"/>
        <item x="2"/>
        <item x="3"/>
        <item x="4"/>
        <item x="5"/>
        <item x="6"/>
        <item t="default"/>
      </items>
    </pivotField>
    <pivotField showAll="0">
      <items count="5">
        <item x="2"/>
        <item x="1"/>
        <item x="0"/>
        <item x="3"/>
        <item t="default"/>
      </items>
    </pivotField>
    <pivotField showAll="0">
      <items count="5">
        <item x="2"/>
        <item x="1"/>
        <item x="0"/>
        <item x="3"/>
        <item t="default"/>
      </items>
    </pivotField>
    <pivotField showAll="0">
      <items count="6">
        <item x="0"/>
        <item x="1"/>
        <item x="2"/>
        <item x="3"/>
        <item x="4"/>
        <item t="default"/>
      </items>
    </pivotField>
    <pivotField showAll="0">
      <items count="6">
        <item x="4"/>
        <item x="1"/>
        <item x="2"/>
        <item x="3"/>
        <item x="0"/>
        <item t="default"/>
      </items>
    </pivotField>
    <pivotField numFmtId="1" showAll="0">
      <items count="169">
        <item x="45"/>
        <item x="65"/>
        <item x="125"/>
        <item x="53"/>
        <item x="46"/>
        <item x="64"/>
        <item x="155"/>
        <item x="109"/>
        <item x="55"/>
        <item x="70"/>
        <item x="54"/>
        <item x="113"/>
        <item x="75"/>
        <item x="68"/>
        <item x="41"/>
        <item x="85"/>
        <item x="73"/>
        <item x="35"/>
        <item x="67"/>
        <item x="128"/>
        <item x="38"/>
        <item x="110"/>
        <item x="160"/>
        <item x="140"/>
        <item x="63"/>
        <item x="148"/>
        <item x="114"/>
        <item x="147"/>
        <item x="83"/>
        <item x="103"/>
        <item x="79"/>
        <item x="17"/>
        <item x="115"/>
        <item x="91"/>
        <item x="16"/>
        <item x="11"/>
        <item x="14"/>
        <item x="164"/>
        <item x="43"/>
        <item x="36"/>
        <item x="102"/>
        <item x="133"/>
        <item x="130"/>
        <item x="126"/>
        <item x="27"/>
        <item x="135"/>
        <item x="8"/>
        <item x="122"/>
        <item x="47"/>
        <item x="39"/>
        <item x="78"/>
        <item x="23"/>
        <item x="132"/>
        <item x="6"/>
        <item x="117"/>
        <item x="60"/>
        <item x="3"/>
        <item x="153"/>
        <item x="74"/>
        <item x="157"/>
        <item x="100"/>
        <item x="9"/>
        <item x="20"/>
        <item x="34"/>
        <item x="97"/>
        <item x="145"/>
        <item x="120"/>
        <item x="152"/>
        <item x="158"/>
        <item x="12"/>
        <item x="62"/>
        <item x="58"/>
        <item x="28"/>
        <item x="134"/>
        <item x="93"/>
        <item x="165"/>
        <item x="15"/>
        <item x="137"/>
        <item x="31"/>
        <item x="33"/>
        <item x="57"/>
        <item x="94"/>
        <item x="90"/>
        <item x="144"/>
        <item x="136"/>
        <item x="167"/>
        <item x="42"/>
        <item x="111"/>
        <item x="22"/>
        <item x="163"/>
        <item x="118"/>
        <item x="71"/>
        <item x="80"/>
        <item x="49"/>
        <item x="154"/>
        <item x="104"/>
        <item x="107"/>
        <item x="161"/>
        <item x="88"/>
        <item x="7"/>
        <item x="2"/>
        <item x="108"/>
        <item x="96"/>
        <item x="150"/>
        <item x="77"/>
        <item x="124"/>
        <item x="56"/>
        <item x="105"/>
        <item x="44"/>
        <item x="116"/>
        <item x="13"/>
        <item x="76"/>
        <item x="166"/>
        <item x="32"/>
        <item x="66"/>
        <item x="30"/>
        <item x="24"/>
        <item x="40"/>
        <item x="29"/>
        <item x="142"/>
        <item x="4"/>
        <item x="98"/>
        <item x="87"/>
        <item x="81"/>
        <item x="95"/>
        <item x="138"/>
        <item x="50"/>
        <item x="37"/>
        <item x="156"/>
        <item x="123"/>
        <item x="48"/>
        <item x="131"/>
        <item x="86"/>
        <item x="149"/>
        <item x="92"/>
        <item x="89"/>
        <item x="59"/>
        <item x="121"/>
        <item x="119"/>
        <item x="106"/>
        <item x="84"/>
        <item x="0"/>
        <item x="25"/>
        <item x="127"/>
        <item x="143"/>
        <item x="146"/>
        <item x="129"/>
        <item x="151"/>
        <item x="18"/>
        <item x="101"/>
        <item x="141"/>
        <item x="72"/>
        <item x="61"/>
        <item x="69"/>
        <item x="5"/>
        <item x="1"/>
        <item x="10"/>
        <item x="26"/>
        <item x="21"/>
        <item x="51"/>
        <item x="19"/>
        <item x="112"/>
        <item x="162"/>
        <item x="52"/>
        <item x="99"/>
        <item x="159"/>
        <item x="82"/>
        <item x="139"/>
        <item t="default"/>
      </items>
    </pivotField>
    <pivotField showAll="0">
      <items count="72">
        <item x="61"/>
        <item x="55"/>
        <item x="60"/>
        <item x="13"/>
        <item x="14"/>
        <item x="33"/>
        <item x="39"/>
        <item x="0"/>
        <item x="45"/>
        <item x="6"/>
        <item x="30"/>
        <item x="19"/>
        <item x="52"/>
        <item x="9"/>
        <item x="38"/>
        <item x="35"/>
        <item x="62"/>
        <item x="11"/>
        <item x="21"/>
        <item x="67"/>
        <item x="44"/>
        <item x="29"/>
        <item x="1"/>
        <item x="50"/>
        <item x="56"/>
        <item x="65"/>
        <item x="2"/>
        <item x="27"/>
        <item x="32"/>
        <item x="18"/>
        <item x="15"/>
        <item x="54"/>
        <item x="4"/>
        <item x="5"/>
        <item x="58"/>
        <item x="48"/>
        <item x="42"/>
        <item x="40"/>
        <item x="24"/>
        <item x="70"/>
        <item x="3"/>
        <item x="8"/>
        <item x="49"/>
        <item x="69"/>
        <item x="68"/>
        <item x="26"/>
        <item x="41"/>
        <item x="66"/>
        <item x="28"/>
        <item x="46"/>
        <item x="7"/>
        <item x="63"/>
        <item x="51"/>
        <item x="64"/>
        <item x="12"/>
        <item x="53"/>
        <item x="10"/>
        <item x="23"/>
        <item x="36"/>
        <item x="57"/>
        <item x="17"/>
        <item x="20"/>
        <item x="16"/>
        <item x="47"/>
        <item x="37"/>
        <item x="22"/>
        <item x="34"/>
        <item x="59"/>
        <item x="43"/>
        <item x="25"/>
        <item x="31"/>
        <item t="default"/>
      </items>
    </pivotField>
    <pivotField dataField="1" showAll="0">
      <items count="469">
        <item x="55"/>
        <item x="80"/>
        <item x="56"/>
        <item x="78"/>
        <item x="359"/>
        <item x="350"/>
        <item x="66"/>
        <item x="312"/>
        <item x="68"/>
        <item x="298"/>
        <item x="412"/>
        <item x="442"/>
        <item x="418"/>
        <item x="423"/>
        <item x="395"/>
        <item x="448"/>
        <item x="424"/>
        <item x="460"/>
        <item x="401"/>
        <item x="176"/>
        <item x="158"/>
        <item x="399"/>
        <item x="410"/>
        <item x="150"/>
        <item x="369"/>
        <item x="47"/>
        <item x="385"/>
        <item x="196"/>
        <item x="87"/>
        <item x="295"/>
        <item x="139"/>
        <item x="266"/>
        <item x="214"/>
        <item x="284"/>
        <item x="50"/>
        <item x="315"/>
        <item x="91"/>
        <item x="114"/>
        <item x="243"/>
        <item x="171"/>
        <item x="198"/>
        <item x="402"/>
        <item x="77"/>
        <item x="85"/>
        <item x="292"/>
        <item x="157"/>
        <item x="202"/>
        <item x="351"/>
        <item x="95"/>
        <item x="397"/>
        <item x="361"/>
        <item x="283"/>
        <item x="223"/>
        <item x="67"/>
        <item x="231"/>
        <item x="382"/>
        <item x="323"/>
        <item x="213"/>
        <item x="426"/>
        <item x="366"/>
        <item x="334"/>
        <item x="349"/>
        <item x="32"/>
        <item x="414"/>
        <item x="390"/>
        <item x="189"/>
        <item x="314"/>
        <item x="310"/>
        <item x="405"/>
        <item x="261"/>
        <item x="6"/>
        <item x="120"/>
        <item x="254"/>
        <item x="437"/>
        <item x="371"/>
        <item x="151"/>
        <item x="18"/>
        <item x="45"/>
        <item x="149"/>
        <item x="277"/>
        <item x="247"/>
        <item x="203"/>
        <item x="98"/>
        <item x="274"/>
        <item x="179"/>
        <item x="280"/>
        <item x="123"/>
        <item x="112"/>
        <item x="451"/>
        <item x="162"/>
        <item x="19"/>
        <item x="207"/>
        <item x="14"/>
        <item x="41"/>
        <item x="427"/>
        <item x="422"/>
        <item x="238"/>
        <item x="244"/>
        <item x="167"/>
        <item x="318"/>
        <item x="148"/>
        <item x="10"/>
        <item x="416"/>
        <item x="329"/>
        <item x="384"/>
        <item x="436"/>
        <item x="302"/>
        <item x="51"/>
        <item x="70"/>
        <item x="175"/>
        <item x="377"/>
        <item x="332"/>
        <item x="297"/>
        <item x="408"/>
        <item x="276"/>
        <item x="141"/>
        <item x="182"/>
        <item x="356"/>
        <item x="177"/>
        <item x="57"/>
        <item x="152"/>
        <item x="170"/>
        <item x="161"/>
        <item x="97"/>
        <item x="200"/>
        <item x="16"/>
        <item x="101"/>
        <item x="216"/>
        <item x="317"/>
        <item x="180"/>
        <item x="262"/>
        <item x="169"/>
        <item x="126"/>
        <item x="227"/>
        <item x="342"/>
        <item x="181"/>
        <item x="299"/>
        <item x="33"/>
        <item x="15"/>
        <item x="104"/>
        <item x="197"/>
        <item x="331"/>
        <item x="311"/>
        <item x="145"/>
        <item x="229"/>
        <item x="439"/>
        <item x="235"/>
        <item x="288"/>
        <item x="43"/>
        <item x="13"/>
        <item x="31"/>
        <item x="20"/>
        <item x="290"/>
        <item x="278"/>
        <item x="236"/>
        <item x="208"/>
        <item x="365"/>
        <item x="287"/>
        <item x="199"/>
        <item x="210"/>
        <item x="300"/>
        <item x="453"/>
        <item x="378"/>
        <item x="438"/>
        <item x="347"/>
        <item x="44"/>
        <item x="425"/>
        <item x="343"/>
        <item x="319"/>
        <item x="346"/>
        <item x="430"/>
        <item x="138"/>
        <item x="153"/>
        <item x="65"/>
        <item x="307"/>
        <item x="9"/>
        <item x="3"/>
        <item x="193"/>
        <item x="411"/>
        <item x="99"/>
        <item x="380"/>
        <item x="273"/>
        <item x="435"/>
        <item x="354"/>
        <item x="155"/>
        <item x="431"/>
        <item x="456"/>
        <item x="52"/>
        <item x="102"/>
        <item x="96"/>
        <item x="147"/>
        <item x="90"/>
        <item x="370"/>
        <item x="28"/>
        <item x="257"/>
        <item x="304"/>
        <item x="183"/>
        <item x="174"/>
        <item x="144"/>
        <item x="187"/>
        <item x="81"/>
        <item x="392"/>
        <item x="204"/>
        <item x="188"/>
        <item x="73"/>
        <item x="219"/>
        <item x="265"/>
        <item x="89"/>
        <item x="458"/>
        <item x="234"/>
        <item x="25"/>
        <item x="452"/>
        <item x="26"/>
        <item x="291"/>
        <item x="255"/>
        <item x="178"/>
        <item x="386"/>
        <item x="0"/>
        <item x="105"/>
        <item x="225"/>
        <item x="62"/>
        <item x="259"/>
        <item x="71"/>
        <item x="221"/>
        <item x="40"/>
        <item x="344"/>
        <item x="107"/>
        <item x="212"/>
        <item x="103"/>
        <item x="281"/>
        <item x="326"/>
        <item x="137"/>
        <item x="29"/>
        <item x="245"/>
        <item x="275"/>
        <item x="417"/>
        <item x="237"/>
        <item x="224"/>
        <item x="164"/>
        <item x="115"/>
        <item x="368"/>
        <item x="455"/>
        <item x="345"/>
        <item x="94"/>
        <item x="419"/>
        <item x="240"/>
        <item x="191"/>
        <item x="132"/>
        <item x="21"/>
        <item x="328"/>
        <item x="79"/>
        <item x="61"/>
        <item x="36"/>
        <item x="186"/>
        <item x="88"/>
        <item x="63"/>
        <item x="355"/>
        <item x="116"/>
        <item x="263"/>
        <item x="2"/>
        <item x="121"/>
        <item x="110"/>
        <item x="48"/>
        <item x="446"/>
        <item x="264"/>
        <item x="256"/>
        <item x="433"/>
        <item x="194"/>
        <item x="38"/>
        <item x="241"/>
        <item x="128"/>
        <item x="285"/>
        <item x="306"/>
        <item x="133"/>
        <item x="192"/>
        <item x="466"/>
        <item x="232"/>
        <item x="252"/>
        <item x="134"/>
        <item x="84"/>
        <item x="379"/>
        <item x="119"/>
        <item x="127"/>
        <item x="59"/>
        <item x="362"/>
        <item x="30"/>
        <item x="53"/>
        <item x="429"/>
        <item x="195"/>
        <item x="24"/>
        <item x="327"/>
        <item x="457"/>
        <item x="320"/>
        <item x="409"/>
        <item x="130"/>
        <item x="129"/>
        <item x="333"/>
        <item x="17"/>
        <item x="220"/>
        <item x="75"/>
        <item x="313"/>
        <item x="407"/>
        <item x="449"/>
        <item x="160"/>
        <item x="353"/>
        <item x="389"/>
        <item x="12"/>
        <item x="463"/>
        <item x="76"/>
        <item x="447"/>
        <item x="404"/>
        <item x="248"/>
        <item x="222"/>
        <item x="374"/>
        <item x="93"/>
        <item x="108"/>
        <item x="168"/>
        <item x="242"/>
        <item x="364"/>
        <item x="258"/>
        <item x="142"/>
        <item x="206"/>
        <item x="4"/>
        <item x="269"/>
        <item x="250"/>
        <item x="444"/>
        <item x="86"/>
        <item x="467"/>
        <item x="226"/>
        <item x="184"/>
        <item x="46"/>
        <item x="246"/>
        <item x="322"/>
        <item x="230"/>
        <item x="58"/>
        <item x="450"/>
        <item x="305"/>
        <item x="1"/>
        <item x="309"/>
        <item x="42"/>
        <item x="375"/>
        <item x="357"/>
        <item x="82"/>
        <item x="111"/>
        <item x="352"/>
        <item x="7"/>
        <item x="154"/>
        <item x="27"/>
        <item x="383"/>
        <item x="321"/>
        <item x="135"/>
        <item x="358"/>
        <item x="218"/>
        <item x="268"/>
        <item x="415"/>
        <item x="348"/>
        <item x="335"/>
        <item x="156"/>
        <item x="124"/>
        <item x="393"/>
        <item x="301"/>
        <item x="251"/>
        <item x="388"/>
        <item x="339"/>
        <item x="279"/>
        <item x="454"/>
        <item x="271"/>
        <item x="83"/>
        <item x="336"/>
        <item x="381"/>
        <item x="360"/>
        <item x="464"/>
        <item x="92"/>
        <item x="340"/>
        <item x="11"/>
        <item x="325"/>
        <item x="228"/>
        <item x="413"/>
        <item x="72"/>
        <item x="376"/>
        <item x="253"/>
        <item x="387"/>
        <item x="428"/>
        <item x="239"/>
        <item x="60"/>
        <item x="441"/>
        <item x="117"/>
        <item x="190"/>
        <item x="5"/>
        <item x="165"/>
        <item x="337"/>
        <item x="440"/>
        <item x="23"/>
        <item x="54"/>
        <item x="260"/>
        <item x="205"/>
        <item x="39"/>
        <item x="118"/>
        <item x="296"/>
        <item x="8"/>
        <item x="294"/>
        <item x="421"/>
        <item x="172"/>
        <item x="406"/>
        <item x="69"/>
        <item x="373"/>
        <item x="461"/>
        <item x="35"/>
        <item x="403"/>
        <item x="215"/>
        <item x="443"/>
        <item x="394"/>
        <item x="434"/>
        <item x="341"/>
        <item x="324"/>
        <item x="363"/>
        <item x="338"/>
        <item x="140"/>
        <item x="143"/>
        <item x="286"/>
        <item x="159"/>
        <item x="445"/>
        <item x="131"/>
        <item x="209"/>
        <item x="166"/>
        <item x="432"/>
        <item x="459"/>
        <item x="34"/>
        <item x="293"/>
        <item x="462"/>
        <item x="74"/>
        <item x="37"/>
        <item x="173"/>
        <item x="282"/>
        <item x="396"/>
        <item x="372"/>
        <item x="113"/>
        <item x="465"/>
        <item x="106"/>
        <item x="272"/>
        <item x="49"/>
        <item x="303"/>
        <item x="391"/>
        <item x="267"/>
        <item x="289"/>
        <item x="163"/>
        <item x="308"/>
        <item x="122"/>
        <item x="201"/>
        <item x="100"/>
        <item x="249"/>
        <item x="330"/>
        <item x="316"/>
        <item x="185"/>
        <item x="233"/>
        <item x="125"/>
        <item x="109"/>
        <item x="136"/>
        <item x="146"/>
        <item x="420"/>
        <item x="211"/>
        <item x="64"/>
        <item x="22"/>
        <item x="217"/>
        <item x="398"/>
        <item x="367"/>
        <item x="400"/>
        <item x="270"/>
        <item t="default"/>
      </items>
    </pivotField>
    <pivotField showAll="0">
      <items count="497">
        <item x="69"/>
        <item x="365"/>
        <item x="374"/>
        <item x="56"/>
        <item x="81"/>
        <item x="432"/>
        <item x="438"/>
        <item x="415"/>
        <item x="444"/>
        <item x="79"/>
        <item x="256"/>
        <item x="57"/>
        <item x="446"/>
        <item x="309"/>
        <item x="67"/>
        <item x="88"/>
        <item x="159"/>
        <item x="474"/>
        <item x="324"/>
        <item x="306"/>
        <item x="419"/>
        <item x="468"/>
        <item x="140"/>
        <item x="385"/>
        <item x="177"/>
        <item x="486"/>
        <item x="48"/>
        <item x="151"/>
        <item x="293"/>
        <item x="249"/>
        <item x="51"/>
        <item x="421"/>
        <item x="403"/>
        <item x="430"/>
        <item x="351"/>
        <item x="219"/>
        <item x="86"/>
        <item x="158"/>
        <item x="200"/>
        <item x="236"/>
        <item x="115"/>
        <item x="376"/>
        <item x="417"/>
        <item x="92"/>
        <item x="292"/>
        <item x="275"/>
        <item x="33"/>
        <item x="202"/>
        <item x="382"/>
        <item x="322"/>
        <item x="172"/>
        <item x="206"/>
        <item x="78"/>
        <item x="326"/>
        <item x="327"/>
        <item x="335"/>
        <item x="422"/>
        <item x="303"/>
        <item x="434"/>
        <item x="263"/>
        <item x="270"/>
        <item x="366"/>
        <item x="218"/>
        <item x="191"/>
        <item x="68"/>
        <item x="286"/>
        <item x="261"/>
        <item x="364"/>
        <item x="152"/>
        <item x="207"/>
        <item x="409"/>
        <item x="283"/>
        <item x="228"/>
        <item x="96"/>
        <item x="397"/>
        <item x="449"/>
        <item x="399"/>
        <item x="387"/>
        <item x="357"/>
        <item x="451"/>
        <item x="445"/>
        <item x="19"/>
        <item x="273"/>
        <item x="46"/>
        <item x="113"/>
        <item x="121"/>
        <item x="254"/>
        <item x="6"/>
        <item x="149"/>
        <item x="425"/>
        <item x="163"/>
        <item x="401"/>
        <item x="244"/>
        <item x="211"/>
        <item x="150"/>
        <item x="462"/>
        <item x="99"/>
        <item x="180"/>
        <item x="341"/>
        <item x="168"/>
        <item x="313"/>
        <item x="463"/>
        <item x="42"/>
        <item x="393"/>
        <item x="285"/>
        <item x="442"/>
        <item x="10"/>
        <item x="477"/>
        <item x="18"/>
        <item x="371"/>
        <item x="436"/>
        <item x="124"/>
        <item x="142"/>
        <item x="345"/>
        <item x="14"/>
        <item x="289"/>
        <item x="193"/>
        <item x="52"/>
        <item x="204"/>
        <item x="250"/>
        <item x="178"/>
        <item x="330"/>
        <item x="232"/>
        <item x="176"/>
        <item x="329"/>
        <item x="184"/>
        <item x="102"/>
        <item x="153"/>
        <item x="58"/>
        <item x="308"/>
        <item x="181"/>
        <item x="71"/>
        <item x="448"/>
        <item x="352"/>
        <item x="356"/>
        <item x="16"/>
        <item x="428"/>
        <item x="459"/>
        <item x="127"/>
        <item x="13"/>
        <item x="221"/>
        <item x="310"/>
        <item x="171"/>
        <item x="234"/>
        <item x="162"/>
        <item x="297"/>
        <item x="465"/>
        <item x="98"/>
        <item x="32"/>
        <item x="20"/>
        <item x="287"/>
        <item x="170"/>
        <item x="15"/>
        <item x="455"/>
        <item x="323"/>
        <item x="212"/>
        <item x="240"/>
        <item x="146"/>
        <item x="271"/>
        <item x="344"/>
        <item x="362"/>
        <item x="299"/>
        <item x="182"/>
        <item x="34"/>
        <item x="105"/>
        <item x="301"/>
        <item x="331"/>
        <item x="296"/>
        <item x="311"/>
        <item x="45"/>
        <item x="201"/>
        <item x="394"/>
        <item x="358"/>
        <item x="479"/>
        <item x="361"/>
        <item x="241"/>
        <item x="488"/>
        <item x="44"/>
        <item x="214"/>
        <item x="66"/>
        <item x="464"/>
        <item x="203"/>
        <item x="196"/>
        <item x="386"/>
        <item x="454"/>
        <item x="381"/>
        <item x="148"/>
        <item x="318"/>
        <item x="447"/>
        <item x="154"/>
        <item x="29"/>
        <item x="139"/>
        <item x="97"/>
        <item x="156"/>
        <item x="145"/>
        <item x="9"/>
        <item x="456"/>
        <item x="175"/>
        <item x="217"/>
        <item x="242"/>
        <item x="199"/>
        <item x="431"/>
        <item x="74"/>
        <item x="478"/>
        <item x="91"/>
        <item x="82"/>
        <item x="3"/>
        <item x="396"/>
        <item x="484"/>
        <item x="100"/>
        <item x="402"/>
        <item x="461"/>
        <item x="90"/>
        <item x="103"/>
        <item x="369"/>
        <item x="53"/>
        <item x="282"/>
        <item x="239"/>
        <item x="302"/>
        <item x="482"/>
        <item x="179"/>
        <item x="185"/>
        <item x="266"/>
        <item x="224"/>
        <item x="189"/>
        <item x="315"/>
        <item x="359"/>
        <item x="108"/>
        <item x="72"/>
        <item x="26"/>
        <item x="257"/>
        <item x="27"/>
        <item x="208"/>
        <item x="216"/>
        <item x="190"/>
        <item x="138"/>
        <item x="412"/>
        <item x="404"/>
        <item x="274"/>
        <item x="41"/>
        <item x="268"/>
        <item x="443"/>
        <item x="437"/>
        <item x="264"/>
        <item x="384"/>
        <item x="230"/>
        <item x="290"/>
        <item x="165"/>
        <item x="360"/>
        <item x="226"/>
        <item x="116"/>
        <item x="243"/>
        <item x="30"/>
        <item x="104"/>
        <item x="106"/>
        <item x="23"/>
        <item x="63"/>
        <item x="0"/>
        <item x="49"/>
        <item x="251"/>
        <item x="37"/>
        <item x="80"/>
        <item x="439"/>
        <item x="284"/>
        <item x="133"/>
        <item x="111"/>
        <item x="197"/>
        <item x="117"/>
        <item x="21"/>
        <item x="247"/>
        <item x="194"/>
        <item x="62"/>
        <item x="338"/>
        <item x="95"/>
        <item x="458"/>
        <item x="472"/>
        <item x="129"/>
        <item x="294"/>
        <item x="195"/>
        <item x="272"/>
        <item x="39"/>
        <item x="481"/>
        <item x="229"/>
        <item x="411"/>
        <item x="188"/>
        <item x="252"/>
        <item x="64"/>
        <item x="237"/>
        <item x="246"/>
        <item x="134"/>
        <item x="395"/>
        <item x="370"/>
        <item x="85"/>
        <item x="89"/>
        <item x="128"/>
        <item x="340"/>
        <item x="60"/>
        <item x="377"/>
        <item x="317"/>
        <item x="493"/>
        <item x="2"/>
        <item x="122"/>
        <item x="54"/>
        <item x="265"/>
        <item x="483"/>
        <item x="25"/>
        <item x="260"/>
        <item x="135"/>
        <item x="298"/>
        <item x="120"/>
        <item x="31"/>
        <item x="198"/>
        <item x="429"/>
        <item x="453"/>
        <item x="339"/>
        <item x="325"/>
        <item x="76"/>
        <item x="131"/>
        <item x="427"/>
        <item x="475"/>
        <item x="17"/>
        <item x="130"/>
        <item x="332"/>
        <item x="77"/>
        <item x="490"/>
        <item x="346"/>
        <item x="225"/>
        <item x="390"/>
        <item x="368"/>
        <item x="12"/>
        <item x="161"/>
        <item x="248"/>
        <item x="47"/>
        <item x="255"/>
        <item x="210"/>
        <item x="143"/>
        <item x="186"/>
        <item x="169"/>
        <item x="231"/>
        <item x="227"/>
        <item x="109"/>
        <item x="4"/>
        <item x="87"/>
        <item x="94"/>
        <item x="267"/>
        <item x="253"/>
        <item x="408"/>
        <item x="424"/>
        <item x="473"/>
        <item x="495"/>
        <item x="334"/>
        <item x="379"/>
        <item x="391"/>
        <item x="470"/>
        <item x="278"/>
        <item x="321"/>
        <item x="316"/>
        <item x="59"/>
        <item x="258"/>
        <item x="476"/>
        <item x="43"/>
        <item x="235"/>
        <item x="347"/>
        <item x="312"/>
        <item x="1"/>
        <item x="125"/>
        <item x="435"/>
        <item x="363"/>
        <item x="277"/>
        <item x="7"/>
        <item x="83"/>
        <item x="373"/>
        <item x="372"/>
        <item x="112"/>
        <item x="136"/>
        <item x="367"/>
        <item x="157"/>
        <item x="28"/>
        <item x="333"/>
        <item x="259"/>
        <item x="407"/>
        <item x="155"/>
        <item x="413"/>
        <item x="223"/>
        <item x="400"/>
        <item x="480"/>
        <item x="337"/>
        <item x="354"/>
        <item x="375"/>
        <item x="11"/>
        <item x="93"/>
        <item x="280"/>
        <item x="494"/>
        <item x="398"/>
        <item x="491"/>
        <item x="353"/>
        <item x="73"/>
        <item x="288"/>
        <item x="84"/>
        <item x="405"/>
        <item x="348"/>
        <item x="166"/>
        <item x="5"/>
        <item x="24"/>
        <item x="233"/>
        <item x="433"/>
        <item x="262"/>
        <item x="392"/>
        <item x="245"/>
        <item x="119"/>
        <item x="466"/>
        <item x="452"/>
        <item x="183"/>
        <item x="349"/>
        <item x="40"/>
        <item x="8"/>
        <item x="389"/>
        <item x="192"/>
        <item x="55"/>
        <item x="118"/>
        <item x="467"/>
        <item x="61"/>
        <item x="441"/>
        <item x="269"/>
        <item x="319"/>
        <item x="307"/>
        <item x="426"/>
        <item x="209"/>
        <item x="36"/>
        <item x="469"/>
        <item x="423"/>
        <item x="305"/>
        <item x="173"/>
        <item x="70"/>
        <item x="220"/>
        <item x="336"/>
        <item x="487"/>
        <item x="460"/>
        <item x="406"/>
        <item x="414"/>
        <item x="160"/>
        <item x="355"/>
        <item x="350"/>
        <item x="295"/>
        <item x="378"/>
        <item x="144"/>
        <item x="141"/>
        <item x="471"/>
        <item x="450"/>
        <item x="213"/>
        <item x="132"/>
        <item x="174"/>
        <item x="75"/>
        <item x="342"/>
        <item x="388"/>
        <item x="489"/>
        <item x="114"/>
        <item x="35"/>
        <item x="304"/>
        <item x="291"/>
        <item x="457"/>
        <item x="416"/>
        <item x="485"/>
        <item x="167"/>
        <item x="492"/>
        <item x="38"/>
        <item x="276"/>
        <item x="50"/>
        <item x="314"/>
        <item x="410"/>
        <item x="281"/>
        <item x="380"/>
        <item x="107"/>
        <item x="300"/>
        <item x="123"/>
        <item x="205"/>
        <item x="320"/>
        <item x="343"/>
        <item x="164"/>
        <item x="101"/>
        <item x="328"/>
        <item x="126"/>
        <item x="187"/>
        <item x="137"/>
        <item x="238"/>
        <item x="147"/>
        <item x="440"/>
        <item x="110"/>
        <item x="222"/>
        <item x="22"/>
        <item x="215"/>
        <item x="418"/>
        <item x="383"/>
        <item x="65"/>
        <item x="279"/>
        <item x="420"/>
        <item t="default"/>
      </items>
    </pivotField>
    <pivotField showAll="0">
      <items count="385">
        <item x="282"/>
        <item x="247"/>
        <item x="227"/>
        <item x="153"/>
        <item x="181"/>
        <item x="2"/>
        <item x="93"/>
        <item x="158"/>
        <item x="102"/>
        <item x="202"/>
        <item x="70"/>
        <item x="116"/>
        <item x="350"/>
        <item x="18"/>
        <item x="104"/>
        <item x="290"/>
        <item x="225"/>
        <item x="210"/>
        <item x="254"/>
        <item x="285"/>
        <item x="207"/>
        <item x="0"/>
        <item x="231"/>
        <item x="369"/>
        <item x="60"/>
        <item x="216"/>
        <item x="316"/>
        <item x="328"/>
        <item x="69"/>
        <item x="253"/>
        <item x="62"/>
        <item x="243"/>
        <item x="383"/>
        <item x="162"/>
        <item x="182"/>
        <item x="377"/>
        <item x="343"/>
        <item x="188"/>
        <item x="218"/>
        <item x="3"/>
        <item x="57"/>
        <item x="96"/>
        <item x="236"/>
        <item x="367"/>
        <item x="344"/>
        <item x="101"/>
        <item x="44"/>
        <item x="147"/>
        <item x="310"/>
        <item x="362"/>
        <item x="206"/>
        <item x="300"/>
        <item x="223"/>
        <item x="379"/>
        <item x="170"/>
        <item x="246"/>
        <item x="275"/>
        <item x="34"/>
        <item x="198"/>
        <item x="345"/>
        <item x="338"/>
        <item x="325"/>
        <item x="53"/>
        <item x="14"/>
        <item x="308"/>
        <item x="66"/>
        <item x="260"/>
        <item x="118"/>
        <item x="266"/>
        <item x="240"/>
        <item x="348"/>
        <item x="78"/>
        <item x="1"/>
        <item x="64"/>
        <item x="183"/>
        <item x="106"/>
        <item x="99"/>
        <item x="265"/>
        <item x="97"/>
        <item x="112"/>
        <item x="166"/>
        <item x="307"/>
        <item x="331"/>
        <item x="129"/>
        <item x="187"/>
        <item x="56"/>
        <item x="173"/>
        <item x="38"/>
        <item x="200"/>
        <item x="228"/>
        <item x="82"/>
        <item x="359"/>
        <item x="67"/>
        <item x="63"/>
        <item x="9"/>
        <item x="230"/>
        <item x="171"/>
        <item x="161"/>
        <item x="262"/>
        <item x="234"/>
        <item x="6"/>
        <item x="28"/>
        <item x="196"/>
        <item x="366"/>
        <item x="249"/>
        <item x="83"/>
        <item x="339"/>
        <item x="277"/>
        <item x="288"/>
        <item x="144"/>
        <item x="155"/>
        <item x="80"/>
        <item x="114"/>
        <item x="374"/>
        <item x="203"/>
        <item x="163"/>
        <item x="77"/>
        <item x="291"/>
        <item x="146"/>
        <item x="269"/>
        <item x="143"/>
        <item x="378"/>
        <item x="16"/>
        <item x="92"/>
        <item x="355"/>
        <item x="201"/>
        <item x="124"/>
        <item x="115"/>
        <item x="55"/>
        <item x="168"/>
        <item x="58"/>
        <item x="100"/>
        <item x="31"/>
        <item x="219"/>
        <item x="199"/>
        <item x="48"/>
        <item x="95"/>
        <item x="312"/>
        <item x="26"/>
        <item x="152"/>
        <item x="27"/>
        <item x="172"/>
        <item x="315"/>
        <item x="194"/>
        <item x="336"/>
        <item x="299"/>
        <item x="360"/>
        <item x="363"/>
        <item x="330"/>
        <item x="195"/>
        <item x="15"/>
        <item x="215"/>
        <item x="274"/>
        <item x="130"/>
        <item x="174"/>
        <item x="332"/>
        <item x="103"/>
        <item x="294"/>
        <item x="149"/>
        <item x="286"/>
        <item x="268"/>
        <item x="365"/>
        <item x="148"/>
        <item x="43"/>
        <item x="90"/>
        <item x="89"/>
        <item x="42"/>
        <item x="226"/>
        <item x="296"/>
        <item x="278"/>
        <item x="232"/>
        <item x="261"/>
        <item x="342"/>
        <item x="50"/>
        <item x="134"/>
        <item x="12"/>
        <item x="180"/>
        <item x="233"/>
        <item x="160"/>
        <item x="179"/>
        <item x="335"/>
        <item x="337"/>
        <item x="35"/>
        <item x="222"/>
        <item x="30"/>
        <item x="263"/>
        <item x="319"/>
        <item x="7"/>
        <item x="21"/>
        <item x="125"/>
        <item x="137"/>
        <item x="280"/>
        <item x="126"/>
        <item x="317"/>
        <item x="245"/>
        <item x="311"/>
        <item x="109"/>
        <item x="61"/>
        <item x="52"/>
        <item x="326"/>
        <item x="17"/>
        <item x="128"/>
        <item x="46"/>
        <item x="127"/>
        <item x="276"/>
        <item x="255"/>
        <item x="139"/>
        <item x="221"/>
        <item x="297"/>
        <item x="376"/>
        <item x="121"/>
        <item x="211"/>
        <item x="41"/>
        <item x="373"/>
        <item x="382"/>
        <item x="175"/>
        <item x="346"/>
        <item x="189"/>
        <item x="98"/>
        <item x="351"/>
        <item x="224"/>
        <item x="4"/>
        <item x="380"/>
        <item x="71"/>
        <item x="371"/>
        <item x="327"/>
        <item x="340"/>
        <item x="191"/>
        <item x="10"/>
        <item x="154"/>
        <item x="213"/>
        <item x="131"/>
        <item x="84"/>
        <item x="88"/>
        <item x="354"/>
        <item x="190"/>
        <item x="167"/>
        <item x="357"/>
        <item x="256"/>
        <item x="72"/>
        <item x="238"/>
        <item x="36"/>
        <item x="381"/>
        <item x="270"/>
        <item x="242"/>
        <item x="264"/>
        <item x="302"/>
        <item x="169"/>
        <item x="65"/>
        <item x="279"/>
        <item x="239"/>
        <item x="237"/>
        <item x="333"/>
        <item x="54"/>
        <item x="177"/>
        <item x="220"/>
        <item x="159"/>
        <item x="40"/>
        <item x="91"/>
        <item x="352"/>
        <item x="81"/>
        <item x="111"/>
        <item x="305"/>
        <item x="79"/>
        <item x="292"/>
        <item x="295"/>
        <item x="241"/>
        <item x="51"/>
        <item x="165"/>
        <item x="214"/>
        <item x="314"/>
        <item x="86"/>
        <item x="94"/>
        <item x="209"/>
        <item x="39"/>
        <item x="287"/>
        <item x="349"/>
        <item x="271"/>
        <item x="259"/>
        <item x="107"/>
        <item x="334"/>
        <item x="192"/>
        <item x="132"/>
        <item x="73"/>
        <item x="119"/>
        <item x="303"/>
        <item x="370"/>
        <item x="59"/>
        <item x="37"/>
        <item x="145"/>
        <item x="140"/>
        <item x="324"/>
        <item x="110"/>
        <item x="372"/>
        <item x="136"/>
        <item x="306"/>
        <item x="257"/>
        <item x="193"/>
        <item x="123"/>
        <item x="353"/>
        <item x="156"/>
        <item x="235"/>
        <item x="138"/>
        <item x="258"/>
        <item x="204"/>
        <item x="322"/>
        <item x="32"/>
        <item x="85"/>
        <item x="341"/>
        <item x="45"/>
        <item x="185"/>
        <item x="133"/>
        <item x="25"/>
        <item x="150"/>
        <item x="358"/>
        <item x="301"/>
        <item x="105"/>
        <item x="22"/>
        <item x="267"/>
        <item x="122"/>
        <item x="29"/>
        <item x="20"/>
        <item x="313"/>
        <item x="19"/>
        <item x="298"/>
        <item x="251"/>
        <item x="184"/>
        <item x="318"/>
        <item x="74"/>
        <item x="75"/>
        <item x="248"/>
        <item x="8"/>
        <item x="272"/>
        <item x="11"/>
        <item x="176"/>
        <item x="135"/>
        <item x="252"/>
        <item x="229"/>
        <item x="375"/>
        <item x="273"/>
        <item x="284"/>
        <item x="304"/>
        <item x="142"/>
        <item x="244"/>
        <item x="283"/>
        <item x="68"/>
        <item x="141"/>
        <item x="217"/>
        <item x="361"/>
        <item x="33"/>
        <item x="323"/>
        <item x="5"/>
        <item x="186"/>
        <item x="24"/>
        <item x="108"/>
        <item x="356"/>
        <item x="197"/>
        <item x="157"/>
        <item x="293"/>
        <item x="178"/>
        <item x="117"/>
        <item x="368"/>
        <item x="212"/>
        <item x="113"/>
        <item x="321"/>
        <item x="208"/>
        <item x="76"/>
        <item x="151"/>
        <item x="347"/>
        <item x="164"/>
        <item x="120"/>
        <item x="205"/>
        <item x="329"/>
        <item x="289"/>
        <item x="49"/>
        <item x="309"/>
        <item x="364"/>
        <item x="320"/>
        <item x="13"/>
        <item x="23"/>
        <item x="281"/>
        <item x="87"/>
        <item x="47"/>
        <item x="250"/>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h="1" sd="0" x="0"/>
        <item sd="0" x="1"/>
        <item sd="0" x="2"/>
        <item h="1" sd="0" x="3"/>
        <item t="default"/>
      </items>
    </pivotField>
  </pivotFields>
  <rowFields count="1">
    <field x="14"/>
  </rowFields>
  <rowItems count="12">
    <i>
      <x v="1"/>
    </i>
    <i>
      <x v="2"/>
    </i>
    <i>
      <x v="3"/>
    </i>
    <i>
      <x v="4"/>
    </i>
    <i>
      <x v="5"/>
    </i>
    <i>
      <x v="6"/>
    </i>
    <i>
      <x v="7"/>
    </i>
    <i>
      <x v="8"/>
    </i>
    <i>
      <x v="9"/>
    </i>
    <i>
      <x v="10"/>
    </i>
    <i>
      <x v="11"/>
    </i>
    <i>
      <x v="12"/>
    </i>
  </rowItems>
  <colItems count="1">
    <i/>
  </colItems>
  <dataFields count="1">
    <dataField name="Monthly Revenue" fld="11" baseField="14" baseItem="1" numFmtId="167"/>
  </dataFields>
  <chartFormats count="3">
    <chartFormat chart="3" format="2"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1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DF10C40-25FF-4622-A270-6D1E3C98DF3A}" name="PivotTable1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3" rowHeaderCaption="Year" colHeaderCaption="">
  <location ref="G39:I41" firstHeaderRow="0" firstDataRow="1" firstDataCol="1"/>
  <pivotFields count="17">
    <pivotField numFmtId="14" showAll="0">
      <items count="50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t="default"/>
      </items>
    </pivotField>
    <pivotField showAll="0"/>
    <pivotField showAll="0">
      <items count="5">
        <item x="0"/>
        <item x="3"/>
        <item x="1"/>
        <item x="2"/>
        <item t="default"/>
      </items>
    </pivotField>
    <pivotField showAll="0"/>
    <pivotField showAll="0"/>
    <pivotField showAll="0"/>
    <pivotField showAll="0">
      <items count="5">
        <item x="3"/>
        <item x="0"/>
        <item x="1"/>
        <item x="2"/>
        <item t="default"/>
      </items>
    </pivotField>
    <pivotField showAll="0"/>
    <pivotField showAll="0">
      <items count="6">
        <item x="4"/>
        <item x="1"/>
        <item x="2"/>
        <item x="3"/>
        <item x="0"/>
        <item t="default"/>
      </items>
    </pivotField>
    <pivotField numFmtId="1" showAll="0"/>
    <pivotField showAll="0"/>
    <pivotField dataField="1"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defaultSubtotal="0">
      <items count="4">
        <item h="1" sd="0" x="0"/>
        <item sd="0" x="1"/>
        <item sd="0" x="2"/>
        <item h="1" sd="0" x="3"/>
      </items>
    </pivotField>
  </pivotFields>
  <rowFields count="1">
    <field x="16"/>
  </rowFields>
  <rowItems count="2">
    <i>
      <x v="1"/>
    </i>
    <i>
      <x v="2"/>
    </i>
  </rowItems>
  <colFields count="1">
    <field x="-2"/>
  </colFields>
  <colItems count="2">
    <i>
      <x/>
    </i>
    <i i="1">
      <x v="1"/>
    </i>
  </colItems>
  <dataFields count="2">
    <dataField name="Total Revenue" fld="11" baseField="16" baseItem="1" numFmtId="165"/>
    <dataField name="Growth %" fld="11" showDataAs="percentDiff" baseField="16" baseItem="1"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6B26BEF-8722-4E52-B497-94AB533703ED}" name="PivotTable1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3" rowHeaderCaption="Drug Name" colHeaderCaption="">
  <location ref="K4:N12" firstHeaderRow="0" firstDataRow="1" firstDataCol="1"/>
  <pivotFields count="17">
    <pivotField numFmtId="14" showAll="0">
      <items count="50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t="default"/>
      </items>
    </pivotField>
    <pivotField showAll="0"/>
    <pivotField showAll="0">
      <items count="5">
        <item x="0"/>
        <item x="3"/>
        <item x="1"/>
        <item x="2"/>
        <item t="default"/>
      </items>
    </pivotField>
    <pivotField showAll="0"/>
    <pivotField axis="axisRow" showAll="0">
      <items count="9">
        <item x="1"/>
        <item x="0"/>
        <item x="7"/>
        <item x="2"/>
        <item x="3"/>
        <item x="4"/>
        <item x="5"/>
        <item x="6"/>
        <item t="default"/>
      </items>
    </pivotField>
    <pivotField showAll="0"/>
    <pivotField showAll="0">
      <items count="5">
        <item x="3"/>
        <item x="0"/>
        <item x="1"/>
        <item x="2"/>
        <item t="default"/>
      </items>
    </pivotField>
    <pivotField showAll="0"/>
    <pivotField showAll="0">
      <items count="6">
        <item x="4"/>
        <item x="1"/>
        <item x="2"/>
        <item x="3"/>
        <item x="0"/>
        <item t="default"/>
      </items>
    </pivotField>
    <pivotField dataField="1" numFmtId="1" showAll="0"/>
    <pivotField showAll="0"/>
    <pivotField dataField="1" showAll="0"/>
    <pivotField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h="1" sd="0" x="0"/>
        <item sd="0" x="1"/>
        <item sd="0" x="2"/>
        <item h="1" sd="0" x="3"/>
        <item t="default"/>
      </items>
    </pivotField>
  </pivotFields>
  <rowFields count="1">
    <field x="4"/>
  </rowFields>
  <rowItems count="8">
    <i>
      <x/>
    </i>
    <i>
      <x v="1"/>
    </i>
    <i>
      <x v="2"/>
    </i>
    <i>
      <x v="3"/>
    </i>
    <i>
      <x v="4"/>
    </i>
    <i>
      <x v="5"/>
    </i>
    <i>
      <x v="6"/>
    </i>
    <i>
      <x v="7"/>
    </i>
  </rowItems>
  <colFields count="1">
    <field x="-2"/>
  </colFields>
  <colItems count="3">
    <i>
      <x/>
    </i>
    <i i="1">
      <x v="1"/>
    </i>
    <i i="2">
      <x v="2"/>
    </i>
  </colItems>
  <dataFields count="3">
    <dataField name="Quantity_Sold" fld="9" baseField="4" baseItem="0" numFmtId="3"/>
    <dataField name="Total_Profit" fld="13" baseField="4" baseItem="0" numFmtId="164"/>
    <dataField name="Total_Revenue" fld="11" baseField="4" baseItem="0" numFmtId="164"/>
  </dataFields>
  <chartFormats count="1">
    <chartFormat chart="11"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1090033-83B8-4756-83A5-5BFA63E76562}" name="PivotTable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9" rowHeaderCaption="Sales Rep ID">
  <location ref="G4:I9" firstHeaderRow="0" firstDataRow="1" firstDataCol="1"/>
  <pivotFields count="17">
    <pivotField numFmtId="14" showAll="0">
      <items count="50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t="default"/>
      </items>
    </pivotField>
    <pivotField showAll="0"/>
    <pivotField showAll="0"/>
    <pivotField showAll="0"/>
    <pivotField showAll="0"/>
    <pivotField showAll="0"/>
    <pivotField showAll="0"/>
    <pivotField axis="axisRow" showAll="0">
      <items count="6">
        <item x="0"/>
        <item x="1"/>
        <item x="2"/>
        <item x="3"/>
        <item x="4"/>
        <item t="default"/>
      </items>
    </pivotField>
    <pivotField showAll="0">
      <items count="6">
        <item x="4"/>
        <item x="1"/>
        <item x="2"/>
        <item x="3"/>
        <item x="0"/>
        <item t="default"/>
      </items>
    </pivotField>
    <pivotField dataField="1" numFmtId="1" showAll="0"/>
    <pivotField showAll="0"/>
    <pivotField dataField="1"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h="1" sd="0" x="0"/>
        <item sd="0" x="1"/>
        <item sd="0" x="2"/>
        <item h="1" sd="0" x="3"/>
        <item t="default"/>
      </items>
    </pivotField>
  </pivotFields>
  <rowFields count="1">
    <field x="7"/>
  </rowFields>
  <rowItems count="5">
    <i>
      <x/>
    </i>
    <i>
      <x v="1"/>
    </i>
    <i>
      <x v="2"/>
    </i>
    <i>
      <x v="3"/>
    </i>
    <i>
      <x v="4"/>
    </i>
  </rowItems>
  <colFields count="1">
    <field x="-2"/>
  </colFields>
  <colItems count="2">
    <i>
      <x/>
    </i>
    <i i="1">
      <x v="1"/>
    </i>
  </colItems>
  <dataFields count="2">
    <dataField name="Rep.Revenue" fld="11" baseField="7" baseItem="0" numFmtId="167"/>
    <dataField name="Rep.Quantity Sold" fld="9" baseField="7" baseItem="0" numFmtId="3"/>
  </dataFields>
  <chartFormats count="4">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 chart="6" format="8" series="1">
      <pivotArea type="data" outline="0" fieldPosition="0">
        <references count="1">
          <reference field="4294967294" count="1" selected="0">
            <x v="0"/>
          </reference>
        </references>
      </pivotArea>
    </chartFormat>
    <chartFormat chart="6"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3000532-8D34-42A5-AF34-CABD514160E3}" name="PivotTable1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3" rowHeaderCaption="Region" colHeaderCaption="">
  <location ref="A43:B45" firstHeaderRow="1" firstDataRow="1" firstDataCol="1"/>
  <pivotFields count="17">
    <pivotField numFmtId="14" showAll="0">
      <items count="50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t="default"/>
      </items>
    </pivotField>
    <pivotField showAll="0"/>
    <pivotField showAll="0">
      <items count="5">
        <item x="0"/>
        <item x="3"/>
        <item x="1"/>
        <item x="2"/>
        <item t="default"/>
      </items>
    </pivotField>
    <pivotField showAll="0"/>
    <pivotField showAll="0"/>
    <pivotField showAll="0"/>
    <pivotField showAll="0">
      <items count="5">
        <item x="3"/>
        <item x="0"/>
        <item x="1"/>
        <item x="2"/>
        <item t="default"/>
      </items>
    </pivotField>
    <pivotField showAll="0"/>
    <pivotField showAll="0">
      <items count="6">
        <item x="4"/>
        <item x="1"/>
        <item x="2"/>
        <item x="3"/>
        <item x="0"/>
        <item t="default"/>
      </items>
    </pivotField>
    <pivotField numFmtId="1" showAll="0"/>
    <pivotField showAll="0"/>
    <pivotField dataField="1"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defaultSubtotal="0">
      <items count="4">
        <item h="1" sd="0" x="0"/>
        <item sd="0" x="1"/>
        <item sd="0" x="2"/>
        <item h="1" sd="0" x="3"/>
      </items>
    </pivotField>
  </pivotFields>
  <rowFields count="1">
    <field x="16"/>
  </rowFields>
  <rowItems count="2">
    <i>
      <x v="1"/>
    </i>
    <i>
      <x v="2"/>
    </i>
  </rowItems>
  <colItems count="1">
    <i/>
  </colItems>
  <dataFields count="1">
    <dataField name="Region Revenue" fld="11" baseField="2" baseItem="0" numFmtId="168"/>
  </dataFields>
  <chartFormats count="3">
    <chartFormat chart="7" format="10" series="1">
      <pivotArea type="data" outline="0" fieldPosition="0">
        <references count="1">
          <reference field="4294967294" count="1" selected="0">
            <x v="0"/>
          </reference>
        </references>
      </pivotArea>
    </chartFormat>
    <chartFormat chart="8" format="15" series="1">
      <pivotArea type="data" outline="0" fieldPosition="0">
        <references count="1">
          <reference field="4294967294" count="1" selected="0">
            <x v="0"/>
          </reference>
        </references>
      </pivotArea>
    </chartFormat>
    <chartFormat chart="10" format="2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24549BC8-3B31-430B-9EEB-CC8ECFC6D085}"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Months">
  <location ref="A19:E32" firstHeaderRow="1" firstDataRow="2" firstDataCol="1"/>
  <pivotFields count="17">
    <pivotField numFmtId="14" showAll="0">
      <items count="50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t="default"/>
      </items>
    </pivotField>
    <pivotField showAll="0"/>
    <pivotField showAll="0"/>
    <pivotField showAll="0"/>
    <pivotField showAll="0"/>
    <pivotField showAll="0"/>
    <pivotField axis="axisCol" showAll="0">
      <items count="5">
        <item x="2"/>
        <item x="1"/>
        <item x="0"/>
        <item x="3"/>
        <item t="default"/>
      </items>
    </pivotField>
    <pivotField showAll="0"/>
    <pivotField showAll="0">
      <items count="6">
        <item x="4"/>
        <item x="1"/>
        <item x="2"/>
        <item x="3"/>
        <item x="0"/>
        <item t="default"/>
      </items>
    </pivotField>
    <pivotField dataField="1" numFmtId="1" showAll="0">
      <items count="169">
        <item x="45"/>
        <item x="65"/>
        <item x="125"/>
        <item x="53"/>
        <item x="46"/>
        <item x="64"/>
        <item x="155"/>
        <item x="109"/>
        <item x="55"/>
        <item x="70"/>
        <item x="54"/>
        <item x="113"/>
        <item x="75"/>
        <item x="68"/>
        <item x="41"/>
        <item x="85"/>
        <item x="73"/>
        <item x="35"/>
        <item x="67"/>
        <item x="128"/>
        <item x="38"/>
        <item x="110"/>
        <item x="160"/>
        <item x="140"/>
        <item x="63"/>
        <item x="148"/>
        <item x="114"/>
        <item x="147"/>
        <item x="83"/>
        <item x="103"/>
        <item x="79"/>
        <item x="17"/>
        <item x="115"/>
        <item x="91"/>
        <item x="16"/>
        <item x="11"/>
        <item x="14"/>
        <item x="164"/>
        <item x="43"/>
        <item x="36"/>
        <item x="102"/>
        <item x="133"/>
        <item x="130"/>
        <item x="126"/>
        <item x="27"/>
        <item x="135"/>
        <item x="8"/>
        <item x="122"/>
        <item x="47"/>
        <item x="39"/>
        <item x="78"/>
        <item x="23"/>
        <item x="132"/>
        <item x="6"/>
        <item x="117"/>
        <item x="60"/>
        <item x="3"/>
        <item x="153"/>
        <item x="74"/>
        <item x="157"/>
        <item x="100"/>
        <item x="9"/>
        <item x="20"/>
        <item x="34"/>
        <item x="97"/>
        <item x="145"/>
        <item x="120"/>
        <item x="152"/>
        <item x="158"/>
        <item x="12"/>
        <item x="62"/>
        <item x="58"/>
        <item x="28"/>
        <item x="134"/>
        <item x="93"/>
        <item x="165"/>
        <item x="15"/>
        <item x="137"/>
        <item x="31"/>
        <item x="33"/>
        <item x="57"/>
        <item x="94"/>
        <item x="90"/>
        <item x="144"/>
        <item x="136"/>
        <item x="167"/>
        <item x="42"/>
        <item x="111"/>
        <item x="22"/>
        <item x="163"/>
        <item x="118"/>
        <item x="71"/>
        <item x="80"/>
        <item x="49"/>
        <item x="154"/>
        <item x="104"/>
        <item x="107"/>
        <item x="161"/>
        <item x="88"/>
        <item x="7"/>
        <item x="2"/>
        <item x="108"/>
        <item x="96"/>
        <item x="150"/>
        <item x="77"/>
        <item x="124"/>
        <item x="56"/>
        <item x="105"/>
        <item x="44"/>
        <item x="116"/>
        <item x="13"/>
        <item x="76"/>
        <item x="166"/>
        <item x="32"/>
        <item x="66"/>
        <item x="30"/>
        <item x="24"/>
        <item x="40"/>
        <item x="29"/>
        <item x="142"/>
        <item x="4"/>
        <item x="98"/>
        <item x="87"/>
        <item x="81"/>
        <item x="95"/>
        <item x="138"/>
        <item x="50"/>
        <item x="37"/>
        <item x="156"/>
        <item x="123"/>
        <item x="48"/>
        <item x="131"/>
        <item x="86"/>
        <item x="149"/>
        <item x="92"/>
        <item x="89"/>
        <item x="59"/>
        <item x="121"/>
        <item x="119"/>
        <item x="106"/>
        <item x="84"/>
        <item x="0"/>
        <item x="25"/>
        <item x="127"/>
        <item x="143"/>
        <item x="146"/>
        <item x="129"/>
        <item x="151"/>
        <item x="18"/>
        <item x="101"/>
        <item x="141"/>
        <item x="72"/>
        <item x="61"/>
        <item x="69"/>
        <item x="5"/>
        <item x="1"/>
        <item x="10"/>
        <item x="26"/>
        <item x="21"/>
        <item x="51"/>
        <item x="19"/>
        <item x="112"/>
        <item x="162"/>
        <item x="52"/>
        <item x="99"/>
        <item x="159"/>
        <item x="82"/>
        <item x="139"/>
        <item t="default"/>
      </items>
    </pivotField>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h="1" sd="0" x="0"/>
        <item sd="0" x="1"/>
        <item sd="0" x="2"/>
        <item h="1" sd="0" x="3"/>
        <item t="default"/>
      </items>
    </pivotField>
  </pivotFields>
  <rowFields count="1">
    <field x="14"/>
  </rowFields>
  <rowItems count="12">
    <i>
      <x v="1"/>
    </i>
    <i>
      <x v="2"/>
    </i>
    <i>
      <x v="3"/>
    </i>
    <i>
      <x v="4"/>
    </i>
    <i>
      <x v="5"/>
    </i>
    <i>
      <x v="6"/>
    </i>
    <i>
      <x v="7"/>
    </i>
    <i>
      <x v="8"/>
    </i>
    <i>
      <x v="9"/>
    </i>
    <i>
      <x v="10"/>
    </i>
    <i>
      <x v="11"/>
    </i>
    <i>
      <x v="12"/>
    </i>
  </rowItems>
  <colFields count="1">
    <field x="6"/>
  </colFields>
  <colItems count="4">
    <i>
      <x/>
    </i>
    <i>
      <x v="1"/>
    </i>
    <i>
      <x v="2"/>
    </i>
    <i>
      <x v="3"/>
    </i>
  </colItems>
  <dataFields count="1">
    <dataField name="Sum of Units Sold" fld="9"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60230AB8-78E3-4C1D-AD78-AD2A7D1868FC}" name="PivotTable1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3" rowHeaderCaption="Region" colHeaderCaption="">
  <location ref="D43:E45" firstHeaderRow="1" firstDataRow="1" firstDataCol="1"/>
  <pivotFields count="17">
    <pivotField numFmtId="14" showAll="0">
      <items count="50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t="default"/>
      </items>
    </pivotField>
    <pivotField showAll="0"/>
    <pivotField showAll="0">
      <items count="5">
        <item x="0"/>
        <item x="3"/>
        <item x="1"/>
        <item x="2"/>
        <item t="default"/>
      </items>
    </pivotField>
    <pivotField showAll="0"/>
    <pivotField showAll="0"/>
    <pivotField showAll="0"/>
    <pivotField showAll="0">
      <items count="5">
        <item x="3"/>
        <item x="0"/>
        <item x="1"/>
        <item x="2"/>
        <item t="default"/>
      </items>
    </pivotField>
    <pivotField showAll="0"/>
    <pivotField showAll="0">
      <items count="6">
        <item x="4"/>
        <item x="1"/>
        <item x="2"/>
        <item x="3"/>
        <item x="0"/>
        <item t="default"/>
      </items>
    </pivotField>
    <pivotField numFmtId="1" showAll="0"/>
    <pivotField showAll="0"/>
    <pivotField dataField="1"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defaultSubtotal="0">
      <items count="4">
        <item h="1" sd="0" x="0"/>
        <item sd="0" x="1"/>
        <item sd="0" x="2"/>
        <item h="1" sd="0" x="3"/>
      </items>
    </pivotField>
  </pivotFields>
  <rowFields count="1">
    <field x="16"/>
  </rowFields>
  <rowItems count="2">
    <i>
      <x v="1"/>
    </i>
    <i>
      <x v="2"/>
    </i>
  </rowItems>
  <colItems count="1">
    <i/>
  </colItems>
  <dataFields count="1">
    <dataField name="Region Revenue" fld="11" baseField="2" baseItem="0" numFmtId="168"/>
  </dataFields>
  <chartFormats count="3">
    <chartFormat chart="7" format="10" series="1">
      <pivotArea type="data" outline="0" fieldPosition="0">
        <references count="1">
          <reference field="4294967294" count="1" selected="0">
            <x v="0"/>
          </reference>
        </references>
      </pivotArea>
    </chartFormat>
    <chartFormat chart="8" format="15" series="1">
      <pivotArea type="data" outline="0" fieldPosition="0">
        <references count="1">
          <reference field="4294967294" count="1" selected="0">
            <x v="0"/>
          </reference>
        </references>
      </pivotArea>
    </chartFormat>
    <chartFormat chart="10" format="2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6CD569F4-B7FD-4265-BA06-1BF9EFECABAD}"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Category" colHeaderCaption="">
  <location ref="G26:K31" firstHeaderRow="1" firstDataRow="2" firstDataCol="1"/>
  <pivotFields count="17">
    <pivotField numFmtId="14" showAll="0">
      <items count="50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t="default"/>
      </items>
    </pivotField>
    <pivotField showAll="0"/>
    <pivotField axis="axisCol" showAll="0" sortType="descending">
      <items count="5">
        <item x="0"/>
        <item x="3"/>
        <item x="1"/>
        <item x="2"/>
        <item t="default"/>
      </items>
    </pivotField>
    <pivotField showAll="0"/>
    <pivotField showAll="0"/>
    <pivotField showAll="0"/>
    <pivotField axis="axisRow" showAll="0">
      <items count="5">
        <item x="3"/>
        <item x="0"/>
        <item x="1"/>
        <item x="2"/>
        <item t="default"/>
      </items>
    </pivotField>
    <pivotField showAll="0"/>
    <pivotField showAll="0">
      <items count="6">
        <item x="4"/>
        <item x="1"/>
        <item x="2"/>
        <item x="3"/>
        <item x="0"/>
        <item t="default"/>
      </items>
    </pivotField>
    <pivotField dataField="1" numFmtId="1"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h="1" sd="0" x="0"/>
        <item sd="0" x="1"/>
        <item sd="0" x="2"/>
        <item h="1" sd="0" x="3"/>
        <item t="default"/>
      </items>
    </pivotField>
  </pivotFields>
  <rowFields count="1">
    <field x="6"/>
  </rowFields>
  <rowItems count="4">
    <i>
      <x/>
    </i>
    <i>
      <x v="1"/>
    </i>
    <i>
      <x v="2"/>
    </i>
    <i>
      <x v="3"/>
    </i>
  </rowItems>
  <colFields count="1">
    <field x="2"/>
  </colFields>
  <colItems count="4">
    <i>
      <x/>
    </i>
    <i>
      <x v="1"/>
    </i>
    <i>
      <x v="2"/>
    </i>
    <i>
      <x v="3"/>
    </i>
  </colItems>
  <dataFields count="1">
    <dataField name="Sum of Uni" fld="9"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7D458DBD-F3EE-4C95-93D9-41D82928D32D}" name="PivotTable20"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3" rowHeaderCaption="Year" colHeaderCaption="">
  <location ref="J43:K45" firstHeaderRow="1" firstDataRow="1" firstDataCol="1"/>
  <pivotFields count="17">
    <pivotField numFmtId="14" showAll="0">
      <items count="50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t="default"/>
      </items>
    </pivotField>
    <pivotField showAll="0"/>
    <pivotField showAll="0">
      <items count="5">
        <item x="0"/>
        <item x="3"/>
        <item x="1"/>
        <item x="2"/>
        <item t="default"/>
      </items>
    </pivotField>
    <pivotField showAll="0"/>
    <pivotField showAll="0"/>
    <pivotField showAll="0"/>
    <pivotField showAll="0">
      <items count="5">
        <item x="3"/>
        <item x="0"/>
        <item x="1"/>
        <item x="2"/>
        <item t="default"/>
      </items>
    </pivotField>
    <pivotField showAll="0"/>
    <pivotField showAll="0">
      <items count="6">
        <item x="4"/>
        <item x="1"/>
        <item x="2"/>
        <item x="3"/>
        <item x="0"/>
        <item t="default"/>
      </items>
    </pivotField>
    <pivotField dataField="1" numFmtId="1"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defaultSubtotal="0">
      <items count="4">
        <item h="1" sd="0" x="0"/>
        <item sd="0" x="1"/>
        <item sd="0" x="2"/>
        <item h="1" sd="0" x="3"/>
      </items>
    </pivotField>
  </pivotFields>
  <rowFields count="1">
    <field x="16"/>
  </rowFields>
  <rowItems count="2">
    <i>
      <x v="1"/>
    </i>
    <i>
      <x v="2"/>
    </i>
  </rowItems>
  <colItems count="1">
    <i/>
  </colItems>
  <dataFields count="1">
    <dataField name="QtySold" fld="9" baseField="0" baseItem="0" numFmtId="3"/>
  </dataFields>
  <formats count="1">
    <format dxfId="3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A7872871-B693-4D53-B200-F71A12798259}" name="PivotTable1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3" rowHeaderCaption="Region" colHeaderCaption="">
  <location ref="J39:J40" firstHeaderRow="1" firstDataRow="1" firstDataCol="0"/>
  <pivotFields count="17">
    <pivotField numFmtId="14" showAll="0">
      <items count="50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t="default"/>
      </items>
    </pivotField>
    <pivotField showAll="0"/>
    <pivotField showAll="0">
      <items count="5">
        <item x="0"/>
        <item x="3"/>
        <item x="1"/>
        <item x="2"/>
        <item t="default"/>
      </items>
    </pivotField>
    <pivotField showAll="0"/>
    <pivotField showAll="0"/>
    <pivotField showAll="0"/>
    <pivotField showAll="0">
      <items count="5">
        <item x="3"/>
        <item x="0"/>
        <item x="1"/>
        <item x="2"/>
        <item t="default"/>
      </items>
    </pivotField>
    <pivotField showAll="0"/>
    <pivotField showAll="0">
      <items count="6">
        <item x="4"/>
        <item x="1"/>
        <item x="2"/>
        <item x="3"/>
        <item x="0"/>
        <item t="default"/>
      </items>
    </pivotField>
    <pivotField dataField="1" numFmtId="1"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defaultSubtotal="0">
      <items count="4">
        <item h="1" sd="0" x="0"/>
        <item sd="0" x="1"/>
        <item sd="0" x="2"/>
        <item h="1" sd="0" x="3"/>
      </items>
    </pivotField>
  </pivotFields>
  <rowItems count="1">
    <i/>
  </rowItems>
  <colItems count="1">
    <i/>
  </colItems>
  <dataFields count="1">
    <dataField name="QtySold" fld="9" baseField="0" baseItem="0" numFmtId="3"/>
  </dataFields>
  <formats count="1">
    <format dxfId="3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2D5A3780-1FBF-47FC-A0F8-965E5FB79E57}" name="PivotTable1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3" rowHeaderCaption="Region" colHeaderCaption="">
  <location ref="J48:J49" firstHeaderRow="1" firstDataRow="1" firstDataCol="0"/>
  <pivotFields count="17">
    <pivotField numFmtId="14" showAll="0">
      <items count="50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t="default"/>
      </items>
    </pivotField>
    <pivotField showAll="0"/>
    <pivotField showAll="0">
      <items count="5">
        <item x="0"/>
        <item x="3"/>
        <item x="1"/>
        <item x="2"/>
        <item t="default"/>
      </items>
    </pivotField>
    <pivotField showAll="0"/>
    <pivotField showAll="0"/>
    <pivotField showAll="0"/>
    <pivotField showAll="0">
      <items count="5">
        <item x="3"/>
        <item x="0"/>
        <item x="1"/>
        <item x="2"/>
        <item t="default"/>
      </items>
    </pivotField>
    <pivotField showAll="0"/>
    <pivotField showAll="0">
      <items count="6">
        <item x="4"/>
        <item x="1"/>
        <item x="2"/>
        <item x="3"/>
        <item x="0"/>
        <item t="default"/>
      </items>
    </pivotField>
    <pivotField numFmtId="1" showAll="0"/>
    <pivotField showAll="0"/>
    <pivotField showAll="0"/>
    <pivotField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defaultSubtotal="0">
      <items count="4">
        <item h="1" sd="0" x="0"/>
        <item sd="0" x="1"/>
        <item sd="0" x="2"/>
        <item h="1" sd="0" x="3"/>
      </items>
    </pivotField>
  </pivotFields>
  <rowItems count="1">
    <i/>
  </rowItems>
  <colItems count="1">
    <i/>
  </colItems>
  <dataFields count="1">
    <dataField name="SumProfit" fld="13" baseField="0" baseItem="0" numFmtId="167"/>
  </dataFields>
  <formats count="2">
    <format dxfId="41">
      <pivotArea outline="0" collapsedLevelsAreSubtotals="1" fieldPosition="0"/>
    </format>
    <format dxfId="40">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AF7CD4D2-D513-4B3A-B7DF-C61052A1BFD8}"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3" rowHeaderCaption="Year" colHeaderCaption="">
  <location ref="G34:G35" firstHeaderRow="1" firstDataRow="1" firstDataCol="0"/>
  <pivotFields count="17">
    <pivotField numFmtId="14" showAll="0">
      <items count="50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t="default"/>
      </items>
    </pivotField>
    <pivotField showAll="0"/>
    <pivotField showAll="0">
      <items count="5">
        <item x="0"/>
        <item x="3"/>
        <item x="1"/>
        <item x="2"/>
        <item t="default"/>
      </items>
    </pivotField>
    <pivotField showAll="0"/>
    <pivotField showAll="0"/>
    <pivotField showAll="0"/>
    <pivotField showAll="0">
      <items count="5">
        <item x="3"/>
        <item x="0"/>
        <item x="1"/>
        <item x="2"/>
        <item t="default"/>
      </items>
    </pivotField>
    <pivotField showAll="0"/>
    <pivotField showAll="0">
      <items count="6">
        <item x="4"/>
        <item x="1"/>
        <item x="2"/>
        <item x="3"/>
        <item x="0"/>
        <item t="default"/>
      </items>
    </pivotField>
    <pivotField numFmtId="1" showAll="0"/>
    <pivotField showAll="0"/>
    <pivotField dataField="1"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defaultSubtotal="0">
      <items count="4">
        <item h="1" sd="0" x="0"/>
        <item sd="0" x="1"/>
        <item sd="0" x="2"/>
        <item h="1" sd="0" x="3"/>
      </items>
    </pivotField>
  </pivotFields>
  <rowItems count="1">
    <i/>
  </rowItems>
  <colItems count="1">
    <i/>
  </colItems>
  <dataFields count="1">
    <dataField name="Total Revenue" fld="11" baseField="16" baseItem="1"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85267236-98A5-4610-B8C9-ECB11CDD2DC7}" name="PivotTable10"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3" rowHeaderCaption="Region" colHeaderCaption="">
  <location ref="A38:B40" firstHeaderRow="1" firstDataRow="1" firstDataCol="1"/>
  <pivotFields count="17">
    <pivotField numFmtId="14" showAll="0">
      <items count="50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t="default"/>
      </items>
    </pivotField>
    <pivotField showAll="0"/>
    <pivotField showAll="0">
      <items count="5">
        <item x="0"/>
        <item x="3"/>
        <item x="1"/>
        <item x="2"/>
        <item t="default"/>
      </items>
    </pivotField>
    <pivotField showAll="0"/>
    <pivotField showAll="0"/>
    <pivotField showAll="0"/>
    <pivotField showAll="0">
      <items count="5">
        <item x="3"/>
        <item x="0"/>
        <item x="1"/>
        <item x="2"/>
        <item t="default"/>
      </items>
    </pivotField>
    <pivotField showAll="0"/>
    <pivotField showAll="0">
      <items count="6">
        <item x="4"/>
        <item x="1"/>
        <item x="2"/>
        <item x="3"/>
        <item x="0"/>
        <item t="default"/>
      </items>
    </pivotField>
    <pivotField numFmtId="1" showAll="0"/>
    <pivotField showAll="0"/>
    <pivotField dataField="1"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defaultSubtotal="0">
      <items count="4">
        <item h="1" sd="0" x="0"/>
        <item sd="0" x="1"/>
        <item sd="0" x="2"/>
        <item h="1" sd="0" x="3"/>
      </items>
    </pivotField>
  </pivotFields>
  <rowFields count="1">
    <field x="16"/>
  </rowFields>
  <rowItems count="2">
    <i>
      <x v="1"/>
    </i>
    <i>
      <x v="2"/>
    </i>
  </rowItems>
  <colItems count="1">
    <i/>
  </colItems>
  <dataFields count="1">
    <dataField name="Region Revenue" fld="11" baseField="2" baseItem="0" numFmtId="168"/>
  </dataFields>
  <chartFormats count="3">
    <chartFormat chart="7" format="10" series="1">
      <pivotArea type="data" outline="0" fieldPosition="0">
        <references count="1">
          <reference field="4294967294" count="1" selected="0">
            <x v="0"/>
          </reference>
        </references>
      </pivotArea>
    </chartFormat>
    <chartFormat chart="8" format="15" series="1">
      <pivotArea type="data" outline="0" fieldPosition="0">
        <references count="1">
          <reference field="4294967294" count="1" selected="0">
            <x v="0"/>
          </reference>
        </references>
      </pivotArea>
    </chartFormat>
    <chartFormat chart="10" format="2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Date1" xr10:uid="{AC475220-3193-48B6-B40C-6F43F3A48FE2}" sourceName="Years (Date)">
  <pivotTables>
    <pivotTable tabId="3" name="PivotTable7"/>
    <pivotTable tabId="3" name="PivotTable1"/>
    <pivotTable tabId="3" name="PivotTable11"/>
    <pivotTable tabId="3" name="PivotTable2"/>
    <pivotTable tabId="3" name="PivotTable3"/>
    <pivotTable tabId="3" name="PivotTable4"/>
    <pivotTable tabId="3" name="PivotTable5"/>
    <pivotTable tabId="3" name="PivotTable6"/>
    <pivotTable tabId="3" name="PivotTable8"/>
    <pivotTable tabId="3" name="PivotTable9"/>
    <pivotTable tabId="3" name="PivotTable10"/>
    <pivotTable tabId="3" name="PivotTable12"/>
    <pivotTable tabId="3" name="PivotTable13"/>
    <pivotTable tabId="3" name="PivotTable14"/>
    <pivotTable tabId="3" name="PivotTable16"/>
    <pivotTable tabId="3" name="PivotTable15"/>
    <pivotTable tabId="3" name="PivotTable17"/>
    <pivotTable tabId="3" name="PivotTable19"/>
    <pivotTable tabId="3" name="PivotTable20"/>
    <pivotTable tabId="3" name="PivotTable21"/>
  </pivotTables>
  <data>
    <tabular pivotCacheId="681437232">
      <items count="4">
        <i x="1" s="1"/>
        <i x="2" s="1"/>
        <i x="0" nd="1"/>
        <i x="3"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Rep" xr10:uid="{833F423B-48A5-49F4-B6E7-280A2E15A2CC}" sourceName="Sales Rep">
  <pivotTables>
    <pivotTable tabId="3" name="PivotTable14"/>
    <pivotTable tabId="3" name="PivotTable1"/>
    <pivotTable tabId="3" name="PivotTable10"/>
    <pivotTable tabId="3" name="PivotTable11"/>
    <pivotTable tabId="3" name="PivotTable12"/>
    <pivotTable tabId="3" name="PivotTable13"/>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 tabId="3" name="PivotTable16"/>
    <pivotTable tabId="3" name="PivotTable15"/>
    <pivotTable tabId="3" name="PivotTable17"/>
    <pivotTable tabId="3" name="PivotTable19"/>
    <pivotTable tabId="3" name="PivotTable20"/>
    <pivotTable tabId="3" name="PivotTable21"/>
  </pivotTables>
  <data>
    <tabular pivotCacheId="681437232">
      <items count="5">
        <i x="4" s="1"/>
        <i x="1" s="1"/>
        <i x="2"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Date) 2" xr10:uid="{856DA601-1BB2-4656-B662-FB35B019C64B}" cache="Slicer_Years__Date1" caption="Date" style="New" rowHeight="251883"/>
  <slicer name="Sales Rep" xr10:uid="{DA18B5EC-0AB0-4BA1-A125-634F905BC8E1}" cache="Slicer_Sales_Rep" caption="Sales Rep" style="New"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Date) 3" xr10:uid="{399CE917-D55F-453B-984B-30B0790B3A21}" cache="Slicer_Years__Date1" caption="Date" style="New" rowHeight="251883"/>
  <slicer name="Sales Rep 1" xr10:uid="{842B0A0D-CD84-4350-A760-4F94826C2700}" cache="Slicer_Sales_Rep" caption="Sales Rep" style="New"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BAA85B3-63A7-4AFD-B174-02C62F1A2508}" name="Table2" displayName="Table2" ref="A1:U503" totalsRowShown="0" headerRowDxfId="65" dataDxfId="64" tableBorderDxfId="63">
  <autoFilter ref="A1:U503" xr:uid="{9BAA85B3-63A7-4AFD-B174-02C62F1A2508}"/>
  <tableColumns count="21">
    <tableColumn id="1" xr3:uid="{17D4340E-C999-4340-98E6-0F70B5CA5F81}" name="Date" dataDxfId="62"/>
    <tableColumn id="2" xr3:uid="{33D6ED50-6CAA-445A-BA3D-06E4DC321BB9}" name="Region ID" dataDxfId="61"/>
    <tableColumn id="3" xr3:uid="{1FD7C7A4-DC3C-4AFA-B200-C594B9BE5BD1}" name="Region" dataDxfId="60"/>
    <tableColumn id="4" xr3:uid="{EC557F9E-7B2B-4102-95DA-18C206E8B03C}" name="DRUG ID" dataDxfId="59"/>
    <tableColumn id="5" xr3:uid="{F4EF2339-F934-4B2A-BC30-C74D1090833B}" name="  Drug Name" dataDxfId="58"/>
    <tableColumn id="6" xr3:uid="{C23ACD37-B6F1-4026-866D-FB5C8EF81911}" name="Category ID" dataDxfId="57"/>
    <tableColumn id="7" xr3:uid="{0A1C2EAA-7CC4-4837-BB94-15F36FB3906B}" name="Category" dataDxfId="56"/>
    <tableColumn id="8" xr3:uid="{A73432CB-179C-4B57-8EFB-8255A89EC2D5}" name="SALES REP ID" dataDxfId="55"/>
    <tableColumn id="9" xr3:uid="{64A747EC-3203-405C-88B4-654FB6B0712C}" name="Sales Rep" dataDxfId="54"/>
    <tableColumn id="10" xr3:uid="{7EEB1419-AF43-4241-848E-2718EC5CF1A0}" name="Units Sold" dataDxfId="53"/>
    <tableColumn id="11" xr3:uid="{B1D3E877-C891-4089-963D-4736CED2CC7B}" name="Unit Price" dataDxfId="52"/>
    <tableColumn id="12" xr3:uid="{50FDCEC6-136C-48E6-AA3E-B94644AD372F}" name="Revenue" dataDxfId="51"/>
    <tableColumn id="13" xr3:uid="{6E7A2ECF-1DBB-4B86-ABAE-513D64585BC8}" name="Cost" dataDxfId="50"/>
    <tableColumn id="14" xr3:uid="{3ABEF308-842F-49CF-A907-51659001956E}" name="Profit" dataDxfId="49"/>
    <tableColumn id="15" xr3:uid="{5FED1EC6-6C3B-410C-95AE-2A054ED654E8}" name="Year" dataDxfId="48">
      <calculatedColumnFormula>YEAR(A2)</calculatedColumnFormula>
    </tableColumn>
    <tableColumn id="16" xr3:uid="{238101B5-674E-44F0-9C1A-4012C2B5AC02}" name="R.Year" dataDxfId="47"/>
    <tableColumn id="17" xr3:uid="{649E02AF-C486-4F52-AA1D-EDDF7425C8A7}" name="Total_Revenue" dataDxfId="46"/>
    <tableColumn id="18" xr3:uid="{CE58F3FD-9377-46B3-AE96-1DA0CC69F216}" name="p.Year" dataDxfId="45"/>
    <tableColumn id="19" xr3:uid="{A6C42B17-A292-4604-A303-025EA7805664}" name="Profit2" dataDxfId="44"/>
    <tableColumn id="20" xr3:uid="{78C9CA85-AA4E-47A1-A7AA-68DE5A647C72}" name="q.Year" dataDxfId="43"/>
    <tableColumn id="21" xr3:uid="{22610CBB-54E9-4937-A388-6EE4CC70D2B4}" name="Qty. Sold" dataDxfId="4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91C862-DDD6-464C-BB71-35373E580392}">
  <dimension ref="A1:V504"/>
  <sheetViews>
    <sheetView topLeftCell="G1" workbookViewId="0">
      <selection activeCell="K6" sqref="K6"/>
    </sheetView>
  </sheetViews>
  <sheetFormatPr defaultRowHeight="14.5" x14ac:dyDescent="0.35"/>
  <cols>
    <col min="1" max="1" width="10.08984375" bestFit="1" customWidth="1"/>
    <col min="2" max="2" width="10.7265625" customWidth="1"/>
    <col min="3" max="3" width="17.90625" bestFit="1" customWidth="1"/>
    <col min="4" max="4" width="17.90625" customWidth="1"/>
    <col min="5" max="5" width="13.54296875" bestFit="1" customWidth="1"/>
    <col min="6" max="6" width="13.54296875" customWidth="1"/>
    <col min="7" max="7" width="13.36328125" customWidth="1"/>
    <col min="8" max="8" width="13.81640625" customWidth="1"/>
    <col min="9" max="9" width="14.81640625" bestFit="1" customWidth="1"/>
    <col min="10" max="10" width="11.36328125" style="1" customWidth="1"/>
    <col min="11" max="11" width="11" style="3" customWidth="1"/>
    <col min="12" max="12" width="12" style="2" customWidth="1"/>
    <col min="13" max="13" width="7.54296875" customWidth="1"/>
    <col min="14" max="14" width="13.7265625" customWidth="1"/>
    <col min="17" max="17" width="15" customWidth="1"/>
    <col min="21" max="21" width="10.26953125" customWidth="1"/>
    <col min="22" max="22" width="10.453125" customWidth="1"/>
  </cols>
  <sheetData>
    <row r="1" spans="1:22" x14ac:dyDescent="0.35">
      <c r="A1" s="34" t="s">
        <v>0</v>
      </c>
      <c r="B1" s="34" t="s">
        <v>37</v>
      </c>
      <c r="C1" s="35" t="s">
        <v>1</v>
      </c>
      <c r="D1" s="35" t="s">
        <v>42</v>
      </c>
      <c r="E1" s="36" t="s">
        <v>30</v>
      </c>
      <c r="F1" s="36" t="s">
        <v>47</v>
      </c>
      <c r="G1" s="35" t="s">
        <v>2</v>
      </c>
      <c r="H1" s="35" t="s">
        <v>36</v>
      </c>
      <c r="I1" s="35" t="s">
        <v>3</v>
      </c>
      <c r="J1" s="37" t="s">
        <v>4</v>
      </c>
      <c r="K1" s="38" t="s">
        <v>5</v>
      </c>
      <c r="L1" s="35" t="s">
        <v>6</v>
      </c>
      <c r="M1" s="35" t="s">
        <v>7</v>
      </c>
      <c r="N1" s="35" t="s">
        <v>8</v>
      </c>
      <c r="O1" s="35" t="s">
        <v>77</v>
      </c>
      <c r="P1" s="35" t="s">
        <v>102</v>
      </c>
      <c r="Q1" s="39" t="s">
        <v>78</v>
      </c>
      <c r="R1" s="35" t="s">
        <v>101</v>
      </c>
      <c r="S1" s="39" t="s">
        <v>104</v>
      </c>
      <c r="T1" s="35" t="s">
        <v>103</v>
      </c>
      <c r="U1" s="40" t="s">
        <v>100</v>
      </c>
    </row>
    <row r="2" spans="1:22" x14ac:dyDescent="0.35">
      <c r="A2" s="23">
        <v>45305</v>
      </c>
      <c r="B2" s="23" t="s">
        <v>38</v>
      </c>
      <c r="C2" s="24" t="s">
        <v>9</v>
      </c>
      <c r="D2" s="24" t="s">
        <v>48</v>
      </c>
      <c r="E2" s="24" t="s">
        <v>10</v>
      </c>
      <c r="F2" s="24" t="s">
        <v>43</v>
      </c>
      <c r="G2" s="24" t="s">
        <v>11</v>
      </c>
      <c r="H2" s="24" t="s">
        <v>31</v>
      </c>
      <c r="I2" s="24" t="s">
        <v>12</v>
      </c>
      <c r="J2" s="25">
        <v>169</v>
      </c>
      <c r="K2" s="24">
        <v>37</v>
      </c>
      <c r="L2" s="24">
        <v>6253</v>
      </c>
      <c r="M2" s="24">
        <v>6109</v>
      </c>
      <c r="N2" s="24">
        <v>144</v>
      </c>
      <c r="O2" s="24">
        <f>YEAR(A2)</f>
        <v>2024</v>
      </c>
      <c r="P2" s="26">
        <v>2024</v>
      </c>
      <c r="Q2" s="24">
        <v>2520760</v>
      </c>
      <c r="R2">
        <v>2024</v>
      </c>
      <c r="S2">
        <v>191255</v>
      </c>
      <c r="T2" s="24">
        <v>2024</v>
      </c>
      <c r="U2" s="24">
        <v>39486</v>
      </c>
      <c r="V2" s="27"/>
    </row>
    <row r="3" spans="1:22" x14ac:dyDescent="0.35">
      <c r="A3" s="28">
        <v>45306</v>
      </c>
      <c r="B3" s="28" t="s">
        <v>39</v>
      </c>
      <c r="C3" s="29" t="s">
        <v>13</v>
      </c>
      <c r="D3" s="29" t="s">
        <v>49</v>
      </c>
      <c r="E3" s="29" t="s">
        <v>14</v>
      </c>
      <c r="F3" s="29" t="s">
        <v>44</v>
      </c>
      <c r="G3" s="29" t="s">
        <v>15</v>
      </c>
      <c r="H3" s="29" t="s">
        <v>32</v>
      </c>
      <c r="I3" s="29" t="s">
        <v>16</v>
      </c>
      <c r="J3" s="30">
        <v>185</v>
      </c>
      <c r="K3" s="29">
        <v>52</v>
      </c>
      <c r="L3" s="29">
        <v>9620</v>
      </c>
      <c r="M3" s="29">
        <v>9344</v>
      </c>
      <c r="N3" s="29">
        <v>276</v>
      </c>
      <c r="O3" s="29">
        <f t="shared" ref="O3:O66" si="0">YEAR(A3)</f>
        <v>2024</v>
      </c>
      <c r="P3" s="31">
        <v>2025</v>
      </c>
      <c r="Q3" s="29">
        <v>1093005</v>
      </c>
      <c r="R3">
        <v>2025</v>
      </c>
      <c r="S3">
        <v>81617</v>
      </c>
      <c r="T3" s="29">
        <v>2025</v>
      </c>
      <c r="U3" s="29">
        <v>16501</v>
      </c>
      <c r="V3" s="32"/>
    </row>
    <row r="4" spans="1:22" x14ac:dyDescent="0.35">
      <c r="A4" s="23">
        <v>45307</v>
      </c>
      <c r="B4" s="23" t="s">
        <v>40</v>
      </c>
      <c r="C4" s="24" t="s">
        <v>17</v>
      </c>
      <c r="D4" s="24" t="s">
        <v>50</v>
      </c>
      <c r="E4" s="24" t="s">
        <v>18</v>
      </c>
      <c r="F4" s="24" t="s">
        <v>44</v>
      </c>
      <c r="G4" s="24" t="s">
        <v>15</v>
      </c>
      <c r="H4" s="24" t="s">
        <v>33</v>
      </c>
      <c r="I4" s="24" t="s">
        <v>19</v>
      </c>
      <c r="J4" s="25">
        <v>126</v>
      </c>
      <c r="K4" s="24">
        <v>56</v>
      </c>
      <c r="L4" s="24">
        <v>7056</v>
      </c>
      <c r="M4" s="24">
        <v>6940</v>
      </c>
      <c r="N4" s="24">
        <v>116</v>
      </c>
      <c r="O4" s="24">
        <f t="shared" si="0"/>
        <v>2024</v>
      </c>
      <c r="P4" s="26"/>
      <c r="Q4" s="24"/>
      <c r="T4" s="24"/>
      <c r="U4" s="24"/>
      <c r="V4" s="27"/>
    </row>
    <row r="5" spans="1:22" x14ac:dyDescent="0.35">
      <c r="A5" s="28">
        <v>45308</v>
      </c>
      <c r="B5" s="28" t="s">
        <v>40</v>
      </c>
      <c r="C5" s="29" t="s">
        <v>17</v>
      </c>
      <c r="D5" s="29" t="s">
        <v>50</v>
      </c>
      <c r="E5" s="29" t="s">
        <v>18</v>
      </c>
      <c r="F5" s="29" t="s">
        <v>44</v>
      </c>
      <c r="G5" s="29" t="s">
        <v>15</v>
      </c>
      <c r="H5" s="29" t="s">
        <v>33</v>
      </c>
      <c r="I5" s="29" t="s">
        <v>19</v>
      </c>
      <c r="J5" s="30">
        <v>78</v>
      </c>
      <c r="K5" s="29">
        <v>70</v>
      </c>
      <c r="L5" s="29">
        <v>5460</v>
      </c>
      <c r="M5" s="29">
        <v>5270</v>
      </c>
      <c r="N5" s="29">
        <v>190</v>
      </c>
      <c r="O5" s="29">
        <f t="shared" si="0"/>
        <v>2024</v>
      </c>
      <c r="P5" s="29"/>
      <c r="Q5" s="29"/>
      <c r="R5" s="29"/>
      <c r="S5" s="29"/>
      <c r="T5" s="29"/>
      <c r="U5" s="29"/>
      <c r="V5" s="32"/>
    </row>
    <row r="6" spans="1:22" x14ac:dyDescent="0.35">
      <c r="A6" s="23">
        <v>45309</v>
      </c>
      <c r="B6" s="23" t="s">
        <v>38</v>
      </c>
      <c r="C6" s="24" t="s">
        <v>9</v>
      </c>
      <c r="D6" s="24" t="s">
        <v>51</v>
      </c>
      <c r="E6" s="24" t="s">
        <v>20</v>
      </c>
      <c r="F6" s="24" t="s">
        <v>45</v>
      </c>
      <c r="G6" s="24" t="s">
        <v>21</v>
      </c>
      <c r="H6" s="24" t="s">
        <v>34</v>
      </c>
      <c r="I6" s="24" t="s">
        <v>22</v>
      </c>
      <c r="J6" s="25">
        <v>147</v>
      </c>
      <c r="K6" s="24">
        <v>62</v>
      </c>
      <c r="L6" s="24">
        <v>9114</v>
      </c>
      <c r="M6" s="24">
        <v>8484</v>
      </c>
      <c r="N6" s="24">
        <v>630</v>
      </c>
      <c r="O6" s="24">
        <f t="shared" si="0"/>
        <v>2024</v>
      </c>
      <c r="P6" s="24"/>
      <c r="Q6" s="24"/>
      <c r="R6" s="24"/>
      <c r="S6" s="24"/>
      <c r="T6" s="24"/>
      <c r="U6" s="24"/>
      <c r="V6" s="27"/>
    </row>
    <row r="7" spans="1:22" x14ac:dyDescent="0.35">
      <c r="A7" s="28">
        <v>45310</v>
      </c>
      <c r="B7" s="28" t="s">
        <v>39</v>
      </c>
      <c r="C7" s="29" t="s">
        <v>13</v>
      </c>
      <c r="D7" s="29" t="s">
        <v>51</v>
      </c>
      <c r="E7" s="29" t="s">
        <v>20</v>
      </c>
      <c r="F7" s="29" t="s">
        <v>45</v>
      </c>
      <c r="G7" s="29" t="s">
        <v>21</v>
      </c>
      <c r="H7" s="29" t="s">
        <v>33</v>
      </c>
      <c r="I7" s="29" t="s">
        <v>19</v>
      </c>
      <c r="J7" s="30">
        <v>184</v>
      </c>
      <c r="K7" s="29">
        <v>63</v>
      </c>
      <c r="L7" s="29">
        <v>11592</v>
      </c>
      <c r="M7" s="29">
        <v>10681</v>
      </c>
      <c r="N7" s="29">
        <v>911</v>
      </c>
      <c r="O7" s="29">
        <f t="shared" si="0"/>
        <v>2024</v>
      </c>
      <c r="P7" s="29"/>
      <c r="Q7" s="29"/>
      <c r="R7" s="29"/>
      <c r="S7" s="29"/>
      <c r="T7" s="29"/>
      <c r="U7" s="29"/>
      <c r="V7" s="32"/>
    </row>
    <row r="8" spans="1:22" x14ac:dyDescent="0.35">
      <c r="A8" s="23">
        <v>45311</v>
      </c>
      <c r="B8" s="23" t="s">
        <v>40</v>
      </c>
      <c r="C8" s="24" t="s">
        <v>17</v>
      </c>
      <c r="D8" s="24" t="s">
        <v>51</v>
      </c>
      <c r="E8" s="24" t="s">
        <v>20</v>
      </c>
      <c r="F8" s="24" t="s">
        <v>45</v>
      </c>
      <c r="G8" s="24" t="s">
        <v>21</v>
      </c>
      <c r="H8" s="24" t="s">
        <v>34</v>
      </c>
      <c r="I8" s="24" t="s">
        <v>22</v>
      </c>
      <c r="J8" s="25">
        <v>75</v>
      </c>
      <c r="K8" s="24">
        <v>39</v>
      </c>
      <c r="L8" s="24">
        <v>2925</v>
      </c>
      <c r="M8" s="24">
        <v>2596</v>
      </c>
      <c r="N8" s="24">
        <v>329</v>
      </c>
      <c r="O8" s="24">
        <f t="shared" si="0"/>
        <v>2024</v>
      </c>
      <c r="P8" s="24"/>
      <c r="Q8" s="24"/>
      <c r="R8" s="24"/>
      <c r="S8" s="24"/>
      <c r="T8" s="24"/>
      <c r="U8" s="24"/>
      <c r="V8" s="27"/>
    </row>
    <row r="9" spans="1:22" x14ac:dyDescent="0.35">
      <c r="A9" s="28">
        <v>45312</v>
      </c>
      <c r="B9" s="28" t="s">
        <v>39</v>
      </c>
      <c r="C9" s="29" t="s">
        <v>13</v>
      </c>
      <c r="D9" s="29" t="s">
        <v>51</v>
      </c>
      <c r="E9" s="29" t="s">
        <v>20</v>
      </c>
      <c r="F9" s="29" t="s">
        <v>45</v>
      </c>
      <c r="G9" s="29" t="s">
        <v>21</v>
      </c>
      <c r="H9" s="29" t="s">
        <v>34</v>
      </c>
      <c r="I9" s="29" t="s">
        <v>22</v>
      </c>
      <c r="J9" s="30">
        <v>125</v>
      </c>
      <c r="K9" s="29">
        <v>80</v>
      </c>
      <c r="L9" s="29">
        <v>10000</v>
      </c>
      <c r="M9" s="29">
        <v>9442</v>
      </c>
      <c r="N9" s="29">
        <v>558</v>
      </c>
      <c r="O9" s="29">
        <f t="shared" si="0"/>
        <v>2024</v>
      </c>
      <c r="P9" s="29"/>
      <c r="Q9" s="29"/>
      <c r="R9" s="29"/>
      <c r="S9" s="29"/>
      <c r="T9" s="29"/>
      <c r="U9" s="29"/>
      <c r="V9" s="32"/>
    </row>
    <row r="10" spans="1:22" x14ac:dyDescent="0.35">
      <c r="A10" s="23">
        <v>45313</v>
      </c>
      <c r="B10" s="23" t="s">
        <v>41</v>
      </c>
      <c r="C10" s="24" t="s">
        <v>23</v>
      </c>
      <c r="D10" s="24" t="s">
        <v>48</v>
      </c>
      <c r="E10" s="24" t="s">
        <v>10</v>
      </c>
      <c r="F10" s="24" t="s">
        <v>43</v>
      </c>
      <c r="G10" s="24" t="s">
        <v>11</v>
      </c>
      <c r="H10" s="24" t="s">
        <v>33</v>
      </c>
      <c r="I10" s="24" t="s">
        <v>19</v>
      </c>
      <c r="J10" s="25">
        <v>169</v>
      </c>
      <c r="K10" s="24">
        <v>71</v>
      </c>
      <c r="L10" s="24">
        <v>11999</v>
      </c>
      <c r="M10" s="24">
        <v>11132</v>
      </c>
      <c r="N10" s="24">
        <v>867</v>
      </c>
      <c r="O10" s="24">
        <f t="shared" si="0"/>
        <v>2024</v>
      </c>
      <c r="P10" s="24"/>
      <c r="Q10" s="24"/>
      <c r="R10" s="24"/>
      <c r="S10" s="24"/>
      <c r="T10" s="26"/>
      <c r="U10" s="24"/>
      <c r="V10" s="27"/>
    </row>
    <row r="11" spans="1:22" x14ac:dyDescent="0.35">
      <c r="A11" s="28">
        <v>45314</v>
      </c>
      <c r="B11" s="28" t="s">
        <v>38</v>
      </c>
      <c r="C11" s="29" t="s">
        <v>9</v>
      </c>
      <c r="D11" s="29" t="s">
        <v>48</v>
      </c>
      <c r="E11" s="29" t="s">
        <v>10</v>
      </c>
      <c r="F11" s="29" t="s">
        <v>43</v>
      </c>
      <c r="G11" s="29" t="s">
        <v>11</v>
      </c>
      <c r="H11" s="29" t="s">
        <v>35</v>
      </c>
      <c r="I11" s="29" t="s">
        <v>24</v>
      </c>
      <c r="J11" s="30">
        <v>68</v>
      </c>
      <c r="K11" s="29">
        <v>80</v>
      </c>
      <c r="L11" s="29">
        <v>5440</v>
      </c>
      <c r="M11" s="29">
        <v>5121</v>
      </c>
      <c r="N11" s="29">
        <v>319</v>
      </c>
      <c r="O11" s="29">
        <f t="shared" si="0"/>
        <v>2024</v>
      </c>
      <c r="P11" s="29"/>
      <c r="Q11" s="29"/>
      <c r="R11" s="29"/>
      <c r="S11" s="29"/>
      <c r="T11" s="29"/>
      <c r="U11" s="29"/>
      <c r="V11" s="32"/>
    </row>
    <row r="12" spans="1:22" x14ac:dyDescent="0.35">
      <c r="A12" s="23">
        <v>45315</v>
      </c>
      <c r="B12" s="23" t="s">
        <v>41</v>
      </c>
      <c r="C12" s="24" t="s">
        <v>23</v>
      </c>
      <c r="D12" s="24" t="s">
        <v>51</v>
      </c>
      <c r="E12" s="24" t="s">
        <v>20</v>
      </c>
      <c r="F12" s="24" t="s">
        <v>45</v>
      </c>
      <c r="G12" s="24" t="s">
        <v>21</v>
      </c>
      <c r="H12" s="24" t="s">
        <v>32</v>
      </c>
      <c r="I12" s="24" t="s">
        <v>16</v>
      </c>
      <c r="J12" s="25">
        <v>83</v>
      </c>
      <c r="K12" s="24">
        <v>43</v>
      </c>
      <c r="L12" s="24">
        <v>3569</v>
      </c>
      <c r="M12" s="24">
        <v>2927</v>
      </c>
      <c r="N12" s="24">
        <v>642</v>
      </c>
      <c r="O12" s="24">
        <f t="shared" si="0"/>
        <v>2024</v>
      </c>
      <c r="P12" s="24"/>
      <c r="Q12" s="24"/>
      <c r="R12" s="24"/>
      <c r="S12" s="24"/>
      <c r="T12" s="24"/>
      <c r="U12" s="24"/>
      <c r="V12" s="27"/>
    </row>
    <row r="13" spans="1:22" x14ac:dyDescent="0.35">
      <c r="A13" s="28">
        <v>45316</v>
      </c>
      <c r="B13" s="28" t="s">
        <v>38</v>
      </c>
      <c r="C13" s="29" t="s">
        <v>9</v>
      </c>
      <c r="D13" s="29" t="s">
        <v>52</v>
      </c>
      <c r="E13" s="29" t="s">
        <v>25</v>
      </c>
      <c r="F13" s="29" t="s">
        <v>46</v>
      </c>
      <c r="G13" s="29" t="s">
        <v>26</v>
      </c>
      <c r="H13" s="29" t="s">
        <v>33</v>
      </c>
      <c r="I13" s="29" t="s">
        <v>19</v>
      </c>
      <c r="J13" s="30">
        <v>126</v>
      </c>
      <c r="K13" s="29">
        <v>86</v>
      </c>
      <c r="L13" s="29">
        <v>10836</v>
      </c>
      <c r="M13" s="29">
        <v>9967</v>
      </c>
      <c r="N13" s="29">
        <v>869</v>
      </c>
      <c r="O13" s="29">
        <f t="shared" si="0"/>
        <v>2024</v>
      </c>
      <c r="P13" s="29"/>
      <c r="Q13" s="29"/>
      <c r="R13" s="29"/>
      <c r="S13" s="29"/>
      <c r="T13" s="29"/>
      <c r="U13" s="29"/>
      <c r="V13" s="32"/>
    </row>
    <row r="14" spans="1:22" x14ac:dyDescent="0.35">
      <c r="A14" s="23">
        <v>45317</v>
      </c>
      <c r="B14" s="23" t="s">
        <v>41</v>
      </c>
      <c r="C14" s="24" t="s">
        <v>23</v>
      </c>
      <c r="D14" s="24" t="s">
        <v>50</v>
      </c>
      <c r="E14" s="24" t="s">
        <v>18</v>
      </c>
      <c r="F14" s="24" t="s">
        <v>44</v>
      </c>
      <c r="G14" s="24" t="s">
        <v>15</v>
      </c>
      <c r="H14" s="24" t="s">
        <v>31</v>
      </c>
      <c r="I14" s="24" t="s">
        <v>12</v>
      </c>
      <c r="J14" s="25">
        <v>186</v>
      </c>
      <c r="K14" s="24">
        <v>47</v>
      </c>
      <c r="L14" s="24">
        <v>8742</v>
      </c>
      <c r="M14" s="24">
        <v>8216</v>
      </c>
      <c r="N14" s="24">
        <v>526</v>
      </c>
      <c r="O14" s="24">
        <f t="shared" si="0"/>
        <v>2024</v>
      </c>
      <c r="P14" s="24"/>
      <c r="Q14" s="24"/>
      <c r="R14" s="24"/>
      <c r="S14" s="24"/>
      <c r="T14" s="24"/>
      <c r="U14" s="24"/>
      <c r="V14" s="27"/>
    </row>
    <row r="15" spans="1:22" x14ac:dyDescent="0.35">
      <c r="A15" s="28">
        <v>45318</v>
      </c>
      <c r="B15" s="28" t="s">
        <v>41</v>
      </c>
      <c r="C15" s="29" t="s">
        <v>23</v>
      </c>
      <c r="D15" s="29" t="s">
        <v>53</v>
      </c>
      <c r="E15" s="29" t="s">
        <v>27</v>
      </c>
      <c r="F15" s="29" t="s">
        <v>46</v>
      </c>
      <c r="G15" s="29" t="s">
        <v>26</v>
      </c>
      <c r="H15" s="29" t="s">
        <v>35</v>
      </c>
      <c r="I15" s="29" t="s">
        <v>24</v>
      </c>
      <c r="J15" s="30">
        <v>57</v>
      </c>
      <c r="K15" s="29">
        <v>84</v>
      </c>
      <c r="L15" s="29">
        <v>4788</v>
      </c>
      <c r="M15" s="29">
        <v>3804</v>
      </c>
      <c r="N15" s="29">
        <v>984</v>
      </c>
      <c r="O15" s="29">
        <f t="shared" si="0"/>
        <v>2024</v>
      </c>
      <c r="P15" s="29"/>
      <c r="Q15" s="29"/>
      <c r="R15" s="29"/>
      <c r="S15" s="29"/>
      <c r="T15" s="29"/>
      <c r="U15" s="29"/>
      <c r="V15" s="32"/>
    </row>
    <row r="16" spans="1:22" x14ac:dyDescent="0.35">
      <c r="A16" s="23">
        <v>45319</v>
      </c>
      <c r="B16" s="23" t="s">
        <v>38</v>
      </c>
      <c r="C16" s="24" t="s">
        <v>9</v>
      </c>
      <c r="D16" s="24" t="s">
        <v>49</v>
      </c>
      <c r="E16" s="24" t="s">
        <v>14</v>
      </c>
      <c r="F16" s="24" t="s">
        <v>44</v>
      </c>
      <c r="G16" s="24" t="s">
        <v>15</v>
      </c>
      <c r="H16" s="24" t="s">
        <v>32</v>
      </c>
      <c r="I16" s="24" t="s">
        <v>16</v>
      </c>
      <c r="J16" s="25">
        <v>91</v>
      </c>
      <c r="K16" s="24">
        <v>37</v>
      </c>
      <c r="L16" s="24">
        <v>3367</v>
      </c>
      <c r="M16" s="24">
        <v>3125</v>
      </c>
      <c r="N16" s="24">
        <v>242</v>
      </c>
      <c r="O16" s="24">
        <f t="shared" si="0"/>
        <v>2024</v>
      </c>
      <c r="P16" s="24"/>
      <c r="Q16" s="24"/>
      <c r="R16" s="24"/>
      <c r="S16" s="24"/>
      <c r="T16" s="24"/>
      <c r="U16" s="24"/>
      <c r="V16" s="27"/>
    </row>
    <row r="17" spans="1:22" x14ac:dyDescent="0.35">
      <c r="A17" s="28">
        <v>45320</v>
      </c>
      <c r="B17" s="28" t="s">
        <v>40</v>
      </c>
      <c r="C17" s="29" t="s">
        <v>17</v>
      </c>
      <c r="D17" s="29" t="s">
        <v>51</v>
      </c>
      <c r="E17" s="29" t="s">
        <v>20</v>
      </c>
      <c r="F17" s="29" t="s">
        <v>45</v>
      </c>
      <c r="G17" s="29" t="s">
        <v>21</v>
      </c>
      <c r="H17" s="29" t="s">
        <v>32</v>
      </c>
      <c r="I17" s="29" t="s">
        <v>16</v>
      </c>
      <c r="J17" s="30">
        <v>137</v>
      </c>
      <c r="K17" s="29">
        <v>33</v>
      </c>
      <c r="L17" s="29">
        <v>4521</v>
      </c>
      <c r="M17" s="29">
        <v>4045</v>
      </c>
      <c r="N17" s="29">
        <v>476</v>
      </c>
      <c r="O17" s="29">
        <f t="shared" si="0"/>
        <v>2024</v>
      </c>
      <c r="P17" s="29"/>
      <c r="Q17" s="29"/>
      <c r="R17" s="29"/>
      <c r="S17" s="29"/>
      <c r="T17" s="29"/>
      <c r="U17" s="29"/>
      <c r="V17" s="32"/>
    </row>
    <row r="18" spans="1:22" x14ac:dyDescent="0.35">
      <c r="A18" s="23">
        <v>45321</v>
      </c>
      <c r="B18" s="23" t="s">
        <v>38</v>
      </c>
      <c r="C18" s="24" t="s">
        <v>9</v>
      </c>
      <c r="D18" s="24" t="s">
        <v>52</v>
      </c>
      <c r="E18" s="24" t="s">
        <v>25</v>
      </c>
      <c r="F18" s="24" t="s">
        <v>46</v>
      </c>
      <c r="G18" s="24" t="s">
        <v>26</v>
      </c>
      <c r="H18" s="24" t="s">
        <v>34</v>
      </c>
      <c r="I18" s="24" t="s">
        <v>22</v>
      </c>
      <c r="J18" s="25">
        <v>58</v>
      </c>
      <c r="K18" s="24">
        <v>71</v>
      </c>
      <c r="L18" s="24">
        <v>4118</v>
      </c>
      <c r="M18" s="24">
        <v>3720</v>
      </c>
      <c r="N18" s="24">
        <v>398</v>
      </c>
      <c r="O18" s="24">
        <f t="shared" si="0"/>
        <v>2024</v>
      </c>
      <c r="P18" s="24"/>
      <c r="Q18" s="24"/>
      <c r="R18" s="24"/>
      <c r="S18" s="24"/>
      <c r="T18" s="24"/>
      <c r="U18" s="24"/>
      <c r="V18" s="27"/>
    </row>
    <row r="19" spans="1:22" x14ac:dyDescent="0.35">
      <c r="A19" s="28">
        <v>45322</v>
      </c>
      <c r="B19" s="28" t="s">
        <v>41</v>
      </c>
      <c r="C19" s="29" t="s">
        <v>23</v>
      </c>
      <c r="D19" s="29" t="s">
        <v>54</v>
      </c>
      <c r="E19" s="29" t="s">
        <v>28</v>
      </c>
      <c r="F19" s="29" t="s">
        <v>45</v>
      </c>
      <c r="G19" s="29" t="s">
        <v>21</v>
      </c>
      <c r="H19" s="29" t="s">
        <v>31</v>
      </c>
      <c r="I19" s="29" t="s">
        <v>12</v>
      </c>
      <c r="J19" s="30">
        <v>100</v>
      </c>
      <c r="K19" s="29">
        <v>84</v>
      </c>
      <c r="L19" s="29">
        <v>8400</v>
      </c>
      <c r="M19" s="29">
        <v>7816</v>
      </c>
      <c r="N19" s="29">
        <v>584</v>
      </c>
      <c r="O19" s="29">
        <f t="shared" si="0"/>
        <v>2024</v>
      </c>
      <c r="P19" s="29"/>
      <c r="Q19" s="29"/>
      <c r="R19" s="29"/>
      <c r="S19" s="29"/>
      <c r="T19" s="29"/>
      <c r="U19" s="29"/>
      <c r="V19" s="32"/>
    </row>
    <row r="20" spans="1:22" x14ac:dyDescent="0.35">
      <c r="A20" s="23">
        <v>45323</v>
      </c>
      <c r="B20" s="23" t="s">
        <v>38</v>
      </c>
      <c r="C20" s="24" t="s">
        <v>9</v>
      </c>
      <c r="D20" s="24" t="s">
        <v>50</v>
      </c>
      <c r="E20" s="24" t="s">
        <v>18</v>
      </c>
      <c r="F20" s="24" t="s">
        <v>44</v>
      </c>
      <c r="G20" s="24" t="s">
        <v>15</v>
      </c>
      <c r="H20" s="24" t="s">
        <v>32</v>
      </c>
      <c r="I20" s="24" t="s">
        <v>16</v>
      </c>
      <c r="J20" s="25">
        <v>91</v>
      </c>
      <c r="K20" s="24">
        <v>34</v>
      </c>
      <c r="L20" s="24">
        <v>3094</v>
      </c>
      <c r="M20" s="24">
        <v>2962</v>
      </c>
      <c r="N20" s="24">
        <v>132</v>
      </c>
      <c r="O20" s="24">
        <f t="shared" si="0"/>
        <v>2024</v>
      </c>
      <c r="P20" s="24"/>
      <c r="Q20" s="24"/>
      <c r="R20" s="24"/>
      <c r="S20" s="24"/>
      <c r="T20" s="24"/>
      <c r="U20" s="24"/>
      <c r="V20" s="27"/>
    </row>
    <row r="21" spans="1:22" x14ac:dyDescent="0.35">
      <c r="A21" s="28">
        <v>45324</v>
      </c>
      <c r="B21" s="28" t="s">
        <v>41</v>
      </c>
      <c r="C21" s="29" t="s">
        <v>23</v>
      </c>
      <c r="D21" s="29" t="s">
        <v>49</v>
      </c>
      <c r="E21" s="29" t="s">
        <v>14</v>
      </c>
      <c r="F21" s="29" t="s">
        <v>44</v>
      </c>
      <c r="G21" s="29" t="s">
        <v>15</v>
      </c>
      <c r="H21" s="29" t="s">
        <v>33</v>
      </c>
      <c r="I21" s="29" t="s">
        <v>19</v>
      </c>
      <c r="J21" s="30">
        <v>56</v>
      </c>
      <c r="K21" s="29">
        <v>60</v>
      </c>
      <c r="L21" s="29">
        <v>3360</v>
      </c>
      <c r="M21" s="29">
        <v>2508</v>
      </c>
      <c r="N21" s="29">
        <v>852</v>
      </c>
      <c r="O21" s="29">
        <f t="shared" si="0"/>
        <v>2024</v>
      </c>
      <c r="P21" s="29"/>
      <c r="Q21" s="29"/>
      <c r="R21" s="29"/>
      <c r="S21" s="29"/>
      <c r="T21" s="29"/>
      <c r="U21" s="29"/>
      <c r="V21" s="32"/>
    </row>
    <row r="22" spans="1:22" x14ac:dyDescent="0.35">
      <c r="A22" s="23">
        <v>45325</v>
      </c>
      <c r="B22" s="23" t="s">
        <v>39</v>
      </c>
      <c r="C22" s="24" t="s">
        <v>13</v>
      </c>
      <c r="D22" s="24" t="s">
        <v>55</v>
      </c>
      <c r="E22" s="24" t="s">
        <v>29</v>
      </c>
      <c r="F22" s="24" t="s">
        <v>43</v>
      </c>
      <c r="G22" s="24" t="s">
        <v>11</v>
      </c>
      <c r="H22" s="24" t="s">
        <v>35</v>
      </c>
      <c r="I22" s="24" t="s">
        <v>24</v>
      </c>
      <c r="J22" s="25">
        <v>53</v>
      </c>
      <c r="K22" s="24">
        <v>92</v>
      </c>
      <c r="L22" s="24">
        <v>4876</v>
      </c>
      <c r="M22" s="24">
        <v>4027</v>
      </c>
      <c r="N22" s="24">
        <v>849</v>
      </c>
      <c r="O22" s="24">
        <f t="shared" si="0"/>
        <v>2024</v>
      </c>
      <c r="P22" s="24"/>
      <c r="Q22" s="24"/>
      <c r="R22" s="24"/>
      <c r="S22" s="24"/>
      <c r="T22" s="24"/>
      <c r="U22" s="24"/>
      <c r="V22" s="27"/>
    </row>
    <row r="23" spans="1:22" x14ac:dyDescent="0.35">
      <c r="A23" s="28">
        <v>45326</v>
      </c>
      <c r="B23" s="28" t="s">
        <v>41</v>
      </c>
      <c r="C23" s="29" t="s">
        <v>23</v>
      </c>
      <c r="D23" s="29" t="s">
        <v>55</v>
      </c>
      <c r="E23" s="29" t="s">
        <v>29</v>
      </c>
      <c r="F23" s="29" t="s">
        <v>43</v>
      </c>
      <c r="G23" s="29" t="s">
        <v>11</v>
      </c>
      <c r="H23" s="29" t="s">
        <v>35</v>
      </c>
      <c r="I23" s="29" t="s">
        <v>24</v>
      </c>
      <c r="J23" s="30">
        <v>176</v>
      </c>
      <c r="K23" s="29">
        <v>39</v>
      </c>
      <c r="L23" s="29">
        <v>6864</v>
      </c>
      <c r="M23" s="29">
        <v>6305</v>
      </c>
      <c r="N23" s="29">
        <v>559</v>
      </c>
      <c r="O23" s="29">
        <f t="shared" si="0"/>
        <v>2024</v>
      </c>
      <c r="P23" s="29"/>
      <c r="Q23" s="29"/>
      <c r="R23" s="29"/>
      <c r="S23" s="29"/>
      <c r="T23" s="29"/>
      <c r="U23" s="29"/>
      <c r="V23" s="32"/>
    </row>
    <row r="24" spans="1:22" x14ac:dyDescent="0.35">
      <c r="A24" s="23">
        <v>45327</v>
      </c>
      <c r="B24" s="23" t="s">
        <v>41</v>
      </c>
      <c r="C24" s="24" t="s">
        <v>23</v>
      </c>
      <c r="D24" s="24" t="s">
        <v>55</v>
      </c>
      <c r="E24" s="24" t="s">
        <v>29</v>
      </c>
      <c r="F24" s="24" t="s">
        <v>43</v>
      </c>
      <c r="G24" s="24" t="s">
        <v>11</v>
      </c>
      <c r="H24" s="24" t="s">
        <v>33</v>
      </c>
      <c r="I24" s="24" t="s">
        <v>19</v>
      </c>
      <c r="J24" s="25">
        <v>191</v>
      </c>
      <c r="K24" s="24">
        <v>90</v>
      </c>
      <c r="L24" s="24">
        <v>17190</v>
      </c>
      <c r="M24" s="24">
        <v>16349</v>
      </c>
      <c r="N24" s="24">
        <v>841</v>
      </c>
      <c r="O24" s="24">
        <f t="shared" si="0"/>
        <v>2024</v>
      </c>
      <c r="P24" s="24"/>
      <c r="Q24" s="24"/>
      <c r="R24" s="24"/>
      <c r="S24" s="24"/>
      <c r="T24" s="24"/>
      <c r="U24" s="24"/>
      <c r="V24" s="27"/>
    </row>
    <row r="25" spans="1:22" x14ac:dyDescent="0.35">
      <c r="A25" s="28">
        <v>45328</v>
      </c>
      <c r="B25" s="28" t="s">
        <v>41</v>
      </c>
      <c r="C25" s="29" t="s">
        <v>23</v>
      </c>
      <c r="D25" s="29" t="s">
        <v>51</v>
      </c>
      <c r="E25" s="29" t="s">
        <v>20</v>
      </c>
      <c r="F25" s="29" t="s">
        <v>45</v>
      </c>
      <c r="G25" s="29" t="s">
        <v>21</v>
      </c>
      <c r="H25" s="29" t="s">
        <v>32</v>
      </c>
      <c r="I25" s="29" t="s">
        <v>16</v>
      </c>
      <c r="J25" s="30">
        <v>84</v>
      </c>
      <c r="K25" s="29">
        <v>84</v>
      </c>
      <c r="L25" s="29">
        <v>7056</v>
      </c>
      <c r="M25" s="29">
        <v>6070</v>
      </c>
      <c r="N25" s="29">
        <v>986</v>
      </c>
      <c r="O25" s="29">
        <f t="shared" si="0"/>
        <v>2024</v>
      </c>
      <c r="P25" s="29"/>
      <c r="Q25" s="29"/>
      <c r="R25" s="29"/>
      <c r="S25" s="29"/>
      <c r="T25" s="29"/>
      <c r="U25" s="29"/>
      <c r="V25" s="32"/>
    </row>
    <row r="26" spans="1:22" x14ac:dyDescent="0.35">
      <c r="A26" s="23">
        <v>45329</v>
      </c>
      <c r="B26" s="23" t="s">
        <v>40</v>
      </c>
      <c r="C26" s="24" t="s">
        <v>17</v>
      </c>
      <c r="D26" s="24" t="s">
        <v>49</v>
      </c>
      <c r="E26" s="24" t="s">
        <v>14</v>
      </c>
      <c r="F26" s="24" t="s">
        <v>44</v>
      </c>
      <c r="G26" s="24" t="s">
        <v>15</v>
      </c>
      <c r="H26" s="24" t="s">
        <v>33</v>
      </c>
      <c r="I26" s="24" t="s">
        <v>19</v>
      </c>
      <c r="J26" s="25">
        <v>188</v>
      </c>
      <c r="K26" s="24">
        <v>62</v>
      </c>
      <c r="L26" s="24">
        <v>11656</v>
      </c>
      <c r="M26" s="24">
        <v>10738</v>
      </c>
      <c r="N26" s="24">
        <v>918</v>
      </c>
      <c r="O26" s="24">
        <f t="shared" si="0"/>
        <v>2024</v>
      </c>
      <c r="P26" s="24"/>
      <c r="Q26" s="24"/>
      <c r="R26" s="24"/>
      <c r="S26" s="24"/>
      <c r="T26" s="24"/>
      <c r="U26" s="24"/>
      <c r="V26" s="27"/>
    </row>
    <row r="27" spans="1:22" x14ac:dyDescent="0.35">
      <c r="A27" s="28">
        <v>45330</v>
      </c>
      <c r="B27" s="28" t="s">
        <v>39</v>
      </c>
      <c r="C27" s="29" t="s">
        <v>13</v>
      </c>
      <c r="D27" s="29" t="s">
        <v>50</v>
      </c>
      <c r="E27" s="29" t="s">
        <v>18</v>
      </c>
      <c r="F27" s="29" t="s">
        <v>44</v>
      </c>
      <c r="G27" s="29" t="s">
        <v>15</v>
      </c>
      <c r="H27" s="29" t="s">
        <v>32</v>
      </c>
      <c r="I27" s="29" t="s">
        <v>16</v>
      </c>
      <c r="J27" s="30">
        <v>113</v>
      </c>
      <c r="K27" s="29">
        <v>70</v>
      </c>
      <c r="L27" s="29">
        <v>7910</v>
      </c>
      <c r="M27" s="29">
        <v>7084</v>
      </c>
      <c r="N27" s="29">
        <v>826</v>
      </c>
      <c r="O27" s="29">
        <f t="shared" si="0"/>
        <v>2024</v>
      </c>
      <c r="P27" s="29"/>
      <c r="Q27" s="29"/>
      <c r="R27" s="29"/>
      <c r="S27" s="29"/>
      <c r="T27" s="29"/>
      <c r="U27" s="29"/>
      <c r="V27" s="32"/>
    </row>
    <row r="28" spans="1:22" x14ac:dyDescent="0.35">
      <c r="A28" s="23">
        <v>45331</v>
      </c>
      <c r="B28" s="23" t="s">
        <v>39</v>
      </c>
      <c r="C28" s="24" t="s">
        <v>13</v>
      </c>
      <c r="D28" s="24" t="s">
        <v>53</v>
      </c>
      <c r="E28" s="24" t="s">
        <v>27</v>
      </c>
      <c r="F28" s="24" t="s">
        <v>46</v>
      </c>
      <c r="G28" s="24" t="s">
        <v>26</v>
      </c>
      <c r="H28" s="24" t="s">
        <v>33</v>
      </c>
      <c r="I28" s="24" t="s">
        <v>19</v>
      </c>
      <c r="J28" s="25">
        <v>73</v>
      </c>
      <c r="K28" s="24">
        <v>84</v>
      </c>
      <c r="L28" s="24">
        <v>6132</v>
      </c>
      <c r="M28" s="24">
        <v>5692</v>
      </c>
      <c r="N28" s="24">
        <v>440</v>
      </c>
      <c r="O28" s="24">
        <f t="shared" si="0"/>
        <v>2024</v>
      </c>
      <c r="P28" s="24"/>
      <c r="Q28" s="24"/>
      <c r="R28" s="24"/>
      <c r="S28" s="24"/>
      <c r="T28" s="24"/>
      <c r="U28" s="24"/>
      <c r="V28" s="27"/>
    </row>
    <row r="29" spans="1:22" x14ac:dyDescent="0.35">
      <c r="A29" s="28">
        <v>45332</v>
      </c>
      <c r="B29" s="28" t="s">
        <v>41</v>
      </c>
      <c r="C29" s="29" t="s">
        <v>23</v>
      </c>
      <c r="D29" s="29" t="s">
        <v>53</v>
      </c>
      <c r="E29" s="29" t="s">
        <v>27</v>
      </c>
      <c r="F29" s="29" t="s">
        <v>46</v>
      </c>
      <c r="G29" s="29" t="s">
        <v>26</v>
      </c>
      <c r="H29" s="29" t="s">
        <v>31</v>
      </c>
      <c r="I29" s="29" t="s">
        <v>12</v>
      </c>
      <c r="J29" s="30">
        <v>143</v>
      </c>
      <c r="K29" s="29">
        <v>43</v>
      </c>
      <c r="L29" s="29">
        <v>6149</v>
      </c>
      <c r="M29" s="29">
        <v>5698</v>
      </c>
      <c r="N29" s="29">
        <v>451</v>
      </c>
      <c r="O29" s="29">
        <f t="shared" si="0"/>
        <v>2024</v>
      </c>
      <c r="P29" s="29"/>
      <c r="Q29" s="29"/>
      <c r="R29" s="29"/>
      <c r="S29" s="29"/>
      <c r="T29" s="29"/>
      <c r="U29" s="29"/>
      <c r="V29" s="32"/>
    </row>
    <row r="30" spans="1:22" x14ac:dyDescent="0.35">
      <c r="A30" s="23">
        <v>45333</v>
      </c>
      <c r="B30" s="23" t="s">
        <v>40</v>
      </c>
      <c r="C30" s="24" t="s">
        <v>17</v>
      </c>
      <c r="D30" s="24" t="s">
        <v>53</v>
      </c>
      <c r="E30" s="24" t="s">
        <v>27</v>
      </c>
      <c r="F30" s="24" t="s">
        <v>46</v>
      </c>
      <c r="G30" s="24" t="s">
        <v>26</v>
      </c>
      <c r="H30" s="24" t="s">
        <v>33</v>
      </c>
      <c r="I30" s="24" t="s">
        <v>19</v>
      </c>
      <c r="J30" s="25">
        <v>170</v>
      </c>
      <c r="K30" s="24">
        <v>59</v>
      </c>
      <c r="L30" s="24">
        <v>10030</v>
      </c>
      <c r="M30" s="24">
        <v>9698</v>
      </c>
      <c r="N30" s="24">
        <v>332</v>
      </c>
      <c r="O30" s="24">
        <f t="shared" si="0"/>
        <v>2024</v>
      </c>
      <c r="P30" s="24"/>
      <c r="Q30" s="24"/>
      <c r="R30" s="24"/>
      <c r="S30" s="24"/>
      <c r="T30" s="24"/>
      <c r="U30" s="24"/>
      <c r="V30" s="27"/>
    </row>
    <row r="31" spans="1:22" x14ac:dyDescent="0.35">
      <c r="A31" s="28">
        <v>45334</v>
      </c>
      <c r="B31" s="28" t="s">
        <v>39</v>
      </c>
      <c r="C31" s="29" t="s">
        <v>13</v>
      </c>
      <c r="D31" s="29" t="s">
        <v>51</v>
      </c>
      <c r="E31" s="29" t="s">
        <v>20</v>
      </c>
      <c r="F31" s="29" t="s">
        <v>45</v>
      </c>
      <c r="G31" s="29" t="s">
        <v>21</v>
      </c>
      <c r="H31" s="29" t="s">
        <v>34</v>
      </c>
      <c r="I31" s="29" t="s">
        <v>22</v>
      </c>
      <c r="J31" s="30">
        <v>176</v>
      </c>
      <c r="K31" s="29">
        <v>33</v>
      </c>
      <c r="L31" s="29">
        <v>5808</v>
      </c>
      <c r="M31" s="29">
        <v>4961</v>
      </c>
      <c r="N31" s="29">
        <v>847</v>
      </c>
      <c r="O31" s="29">
        <f t="shared" si="0"/>
        <v>2024</v>
      </c>
      <c r="P31" s="29"/>
      <c r="Q31" s="29"/>
      <c r="R31" s="29"/>
      <c r="S31" s="29"/>
      <c r="T31" s="29"/>
      <c r="U31" s="29"/>
      <c r="V31" s="32"/>
    </row>
    <row r="32" spans="1:22" x14ac:dyDescent="0.35">
      <c r="A32" s="23">
        <v>45335</v>
      </c>
      <c r="B32" s="23" t="s">
        <v>38</v>
      </c>
      <c r="C32" s="24" t="s">
        <v>9</v>
      </c>
      <c r="D32" s="24" t="s">
        <v>55</v>
      </c>
      <c r="E32" s="24" t="s">
        <v>29</v>
      </c>
      <c r="F32" s="24" t="s">
        <v>43</v>
      </c>
      <c r="G32" s="24" t="s">
        <v>11</v>
      </c>
      <c r="H32" s="24" t="s">
        <v>35</v>
      </c>
      <c r="I32" s="24" t="s">
        <v>24</v>
      </c>
      <c r="J32" s="25">
        <v>126</v>
      </c>
      <c r="K32" s="24">
        <v>52</v>
      </c>
      <c r="L32" s="24">
        <v>6552</v>
      </c>
      <c r="M32" s="24">
        <v>6002</v>
      </c>
      <c r="N32" s="24">
        <v>550</v>
      </c>
      <c r="O32" s="24">
        <f t="shared" si="0"/>
        <v>2024</v>
      </c>
      <c r="P32" s="24"/>
      <c r="Q32" s="24"/>
      <c r="R32" s="24"/>
      <c r="S32" s="24"/>
      <c r="T32" s="24"/>
      <c r="U32" s="24"/>
      <c r="V32" s="27"/>
    </row>
    <row r="33" spans="1:22" x14ac:dyDescent="0.35">
      <c r="A33" s="28">
        <v>45336</v>
      </c>
      <c r="B33" s="28" t="s">
        <v>41</v>
      </c>
      <c r="C33" s="29" t="s">
        <v>23</v>
      </c>
      <c r="D33" s="29" t="s">
        <v>48</v>
      </c>
      <c r="E33" s="29" t="s">
        <v>10</v>
      </c>
      <c r="F33" s="29" t="s">
        <v>43</v>
      </c>
      <c r="G33" s="29" t="s">
        <v>11</v>
      </c>
      <c r="H33" s="29" t="s">
        <v>31</v>
      </c>
      <c r="I33" s="29" t="s">
        <v>12</v>
      </c>
      <c r="J33" s="30">
        <v>187</v>
      </c>
      <c r="K33" s="29">
        <v>41</v>
      </c>
      <c r="L33" s="29">
        <v>7667</v>
      </c>
      <c r="M33" s="29">
        <v>7239</v>
      </c>
      <c r="N33" s="29">
        <v>428</v>
      </c>
      <c r="O33" s="29">
        <f t="shared" si="0"/>
        <v>2024</v>
      </c>
      <c r="P33" s="29"/>
      <c r="Q33" s="29"/>
      <c r="R33" s="29"/>
      <c r="S33" s="29"/>
      <c r="T33" s="29"/>
      <c r="U33" s="29"/>
      <c r="V33" s="32"/>
    </row>
    <row r="34" spans="1:22" x14ac:dyDescent="0.35">
      <c r="A34" s="23">
        <v>45337</v>
      </c>
      <c r="B34" s="23" t="s">
        <v>40</v>
      </c>
      <c r="C34" s="24" t="s">
        <v>17</v>
      </c>
      <c r="D34" s="24" t="s">
        <v>53</v>
      </c>
      <c r="E34" s="24" t="s">
        <v>27</v>
      </c>
      <c r="F34" s="24" t="s">
        <v>46</v>
      </c>
      <c r="G34" s="24" t="s">
        <v>26</v>
      </c>
      <c r="H34" s="24" t="s">
        <v>34</v>
      </c>
      <c r="I34" s="24" t="s">
        <v>22</v>
      </c>
      <c r="J34" s="25">
        <v>53</v>
      </c>
      <c r="K34" s="24">
        <v>91</v>
      </c>
      <c r="L34" s="24">
        <v>4823</v>
      </c>
      <c r="M34" s="24">
        <v>4015</v>
      </c>
      <c r="N34" s="24">
        <v>808</v>
      </c>
      <c r="O34" s="24">
        <f t="shared" si="0"/>
        <v>2024</v>
      </c>
      <c r="P34" s="24"/>
      <c r="Q34" s="24"/>
      <c r="R34" s="24"/>
      <c r="S34" s="24"/>
      <c r="T34" s="24"/>
      <c r="U34" s="24"/>
      <c r="V34" s="27"/>
    </row>
    <row r="35" spans="1:22" x14ac:dyDescent="0.35">
      <c r="A35" s="28">
        <v>45338</v>
      </c>
      <c r="B35" s="28" t="s">
        <v>41</v>
      </c>
      <c r="C35" s="29" t="s">
        <v>23</v>
      </c>
      <c r="D35" s="29" t="s">
        <v>50</v>
      </c>
      <c r="E35" s="29" t="s">
        <v>18</v>
      </c>
      <c r="F35" s="29" t="s">
        <v>44</v>
      </c>
      <c r="G35" s="29" t="s">
        <v>15</v>
      </c>
      <c r="H35" s="29" t="s">
        <v>31</v>
      </c>
      <c r="I35" s="29" t="s">
        <v>12</v>
      </c>
      <c r="J35" s="30">
        <v>66</v>
      </c>
      <c r="K35" s="29">
        <v>41</v>
      </c>
      <c r="L35" s="29">
        <v>2706</v>
      </c>
      <c r="M35" s="29">
        <v>1804</v>
      </c>
      <c r="N35" s="29">
        <v>902</v>
      </c>
      <c r="O35" s="29">
        <f t="shared" si="0"/>
        <v>2024</v>
      </c>
      <c r="P35" s="29"/>
      <c r="Q35" s="29"/>
      <c r="R35" s="29"/>
      <c r="S35" s="29"/>
      <c r="T35" s="29"/>
      <c r="U35" s="29"/>
      <c r="V35" s="32"/>
    </row>
    <row r="36" spans="1:22" x14ac:dyDescent="0.35">
      <c r="A36" s="23">
        <v>45339</v>
      </c>
      <c r="B36" s="23" t="s">
        <v>38</v>
      </c>
      <c r="C36" s="24" t="s">
        <v>9</v>
      </c>
      <c r="D36" s="24" t="s">
        <v>55</v>
      </c>
      <c r="E36" s="24" t="s">
        <v>29</v>
      </c>
      <c r="F36" s="24" t="s">
        <v>43</v>
      </c>
      <c r="G36" s="24" t="s">
        <v>11</v>
      </c>
      <c r="H36" s="24" t="s">
        <v>34</v>
      </c>
      <c r="I36" s="24" t="s">
        <v>22</v>
      </c>
      <c r="J36" s="25">
        <v>94</v>
      </c>
      <c r="K36" s="24">
        <v>48</v>
      </c>
      <c r="L36" s="24">
        <v>4512</v>
      </c>
      <c r="M36" s="24">
        <v>4281</v>
      </c>
      <c r="N36" s="24">
        <v>231</v>
      </c>
      <c r="O36" s="24">
        <f t="shared" si="0"/>
        <v>2024</v>
      </c>
      <c r="P36" s="24"/>
      <c r="Q36" s="24"/>
      <c r="R36" s="24"/>
      <c r="S36" s="24"/>
      <c r="T36" s="24"/>
      <c r="U36" s="24"/>
      <c r="V36" s="27"/>
    </row>
    <row r="37" spans="1:22" x14ac:dyDescent="0.35">
      <c r="A37" s="28">
        <v>45340</v>
      </c>
      <c r="B37" s="28" t="s">
        <v>39</v>
      </c>
      <c r="C37" s="29" t="s">
        <v>13</v>
      </c>
      <c r="D37" s="29" t="s">
        <v>53</v>
      </c>
      <c r="E37" s="29" t="s">
        <v>27</v>
      </c>
      <c r="F37" s="29" t="s">
        <v>46</v>
      </c>
      <c r="G37" s="29" t="s">
        <v>26</v>
      </c>
      <c r="H37" s="29" t="s">
        <v>31</v>
      </c>
      <c r="I37" s="29" t="s">
        <v>12</v>
      </c>
      <c r="J37" s="30">
        <v>145</v>
      </c>
      <c r="K37" s="29">
        <v>95</v>
      </c>
      <c r="L37" s="29">
        <v>13775</v>
      </c>
      <c r="M37" s="29">
        <v>13229</v>
      </c>
      <c r="N37" s="29">
        <v>546</v>
      </c>
      <c r="O37" s="29">
        <f t="shared" si="0"/>
        <v>2024</v>
      </c>
      <c r="P37" s="29"/>
      <c r="Q37" s="29"/>
      <c r="R37" s="29"/>
      <c r="S37" s="29"/>
      <c r="T37" s="29"/>
      <c r="U37" s="29"/>
      <c r="V37" s="32"/>
    </row>
    <row r="38" spans="1:22" x14ac:dyDescent="0.35">
      <c r="A38" s="23">
        <v>45341</v>
      </c>
      <c r="B38" s="23" t="s">
        <v>38</v>
      </c>
      <c r="C38" s="24" t="s">
        <v>9</v>
      </c>
      <c r="D38" s="24" t="s">
        <v>50</v>
      </c>
      <c r="E38" s="24" t="s">
        <v>18</v>
      </c>
      <c r="F38" s="24" t="s">
        <v>44</v>
      </c>
      <c r="G38" s="24" t="s">
        <v>15</v>
      </c>
      <c r="H38" s="24" t="s">
        <v>34</v>
      </c>
      <c r="I38" s="24" t="s">
        <v>22</v>
      </c>
      <c r="J38" s="25">
        <v>142</v>
      </c>
      <c r="K38" s="24">
        <v>87</v>
      </c>
      <c r="L38" s="24">
        <v>12354</v>
      </c>
      <c r="M38" s="24">
        <v>11683</v>
      </c>
      <c r="N38" s="24">
        <v>671</v>
      </c>
      <c r="O38" s="24">
        <f t="shared" si="0"/>
        <v>2024</v>
      </c>
      <c r="P38" s="24"/>
      <c r="Q38" s="24"/>
      <c r="R38" s="24"/>
      <c r="S38" s="24"/>
      <c r="T38" s="24"/>
      <c r="U38" s="24"/>
      <c r="V38" s="27"/>
    </row>
    <row r="39" spans="1:22" x14ac:dyDescent="0.35">
      <c r="A39" s="28">
        <v>45342</v>
      </c>
      <c r="B39" s="28" t="s">
        <v>39</v>
      </c>
      <c r="C39" s="29" t="s">
        <v>13</v>
      </c>
      <c r="D39" s="29" t="s">
        <v>51</v>
      </c>
      <c r="E39" s="29" t="s">
        <v>20</v>
      </c>
      <c r="F39" s="29" t="s">
        <v>45</v>
      </c>
      <c r="G39" s="29" t="s">
        <v>21</v>
      </c>
      <c r="H39" s="29" t="s">
        <v>34</v>
      </c>
      <c r="I39" s="29" t="s">
        <v>22</v>
      </c>
      <c r="J39" s="30">
        <v>102</v>
      </c>
      <c r="K39" s="29">
        <v>68</v>
      </c>
      <c r="L39" s="29">
        <v>6936</v>
      </c>
      <c r="M39" s="29">
        <v>6168</v>
      </c>
      <c r="N39" s="29">
        <v>768</v>
      </c>
      <c r="O39" s="29">
        <f t="shared" si="0"/>
        <v>2024</v>
      </c>
      <c r="P39" s="29"/>
      <c r="Q39" s="29"/>
      <c r="R39" s="29"/>
      <c r="S39" s="29"/>
      <c r="T39" s="29"/>
      <c r="U39" s="29"/>
      <c r="V39" s="32"/>
    </row>
    <row r="40" spans="1:22" x14ac:dyDescent="0.35">
      <c r="A40" s="23">
        <v>45343</v>
      </c>
      <c r="B40" s="23" t="s">
        <v>38</v>
      </c>
      <c r="C40" s="24" t="s">
        <v>9</v>
      </c>
      <c r="D40" s="24" t="s">
        <v>54</v>
      </c>
      <c r="E40" s="24" t="s">
        <v>28</v>
      </c>
      <c r="F40" s="24" t="s">
        <v>45</v>
      </c>
      <c r="G40" s="24" t="s">
        <v>21</v>
      </c>
      <c r="H40" s="24" t="s">
        <v>35</v>
      </c>
      <c r="I40" s="24" t="s">
        <v>24</v>
      </c>
      <c r="J40" s="25">
        <v>140</v>
      </c>
      <c r="K40" s="24">
        <v>99</v>
      </c>
      <c r="L40" s="24">
        <v>13860</v>
      </c>
      <c r="M40" s="24">
        <v>13557</v>
      </c>
      <c r="N40" s="24">
        <v>303</v>
      </c>
      <c r="O40" s="24">
        <f t="shared" si="0"/>
        <v>2024</v>
      </c>
      <c r="P40" s="24"/>
      <c r="Q40" s="24"/>
      <c r="R40" s="24"/>
      <c r="S40" s="24"/>
      <c r="T40" s="24"/>
      <c r="U40" s="24"/>
      <c r="V40" s="27"/>
    </row>
    <row r="41" spans="1:22" x14ac:dyDescent="0.35">
      <c r="A41" s="28">
        <v>45344</v>
      </c>
      <c r="B41" s="28" t="s">
        <v>39</v>
      </c>
      <c r="C41" s="29" t="s">
        <v>13</v>
      </c>
      <c r="D41" s="29" t="s">
        <v>48</v>
      </c>
      <c r="E41" s="29" t="s">
        <v>10</v>
      </c>
      <c r="F41" s="29" t="s">
        <v>43</v>
      </c>
      <c r="G41" s="29" t="s">
        <v>11</v>
      </c>
      <c r="H41" s="29" t="s">
        <v>34</v>
      </c>
      <c r="I41" s="29" t="s">
        <v>22</v>
      </c>
      <c r="J41" s="30">
        <v>103</v>
      </c>
      <c r="K41" s="29">
        <v>70</v>
      </c>
      <c r="L41" s="29">
        <v>7210</v>
      </c>
      <c r="M41" s="29">
        <v>6472</v>
      </c>
      <c r="N41" s="29">
        <v>738</v>
      </c>
      <c r="O41" s="29">
        <f t="shared" si="0"/>
        <v>2024</v>
      </c>
      <c r="P41" s="29"/>
      <c r="Q41" s="29"/>
      <c r="R41" s="29"/>
      <c r="S41" s="29"/>
      <c r="T41" s="29"/>
      <c r="U41" s="29"/>
      <c r="V41" s="32"/>
    </row>
    <row r="42" spans="1:22" x14ac:dyDescent="0.35">
      <c r="A42" s="23">
        <v>45345</v>
      </c>
      <c r="B42" s="23" t="s">
        <v>39</v>
      </c>
      <c r="C42" s="24" t="s">
        <v>13</v>
      </c>
      <c r="D42" s="24" t="s">
        <v>54</v>
      </c>
      <c r="E42" s="24" t="s">
        <v>28</v>
      </c>
      <c r="F42" s="24" t="s">
        <v>45</v>
      </c>
      <c r="G42" s="24" t="s">
        <v>21</v>
      </c>
      <c r="H42" s="24" t="s">
        <v>31</v>
      </c>
      <c r="I42" s="24" t="s">
        <v>12</v>
      </c>
      <c r="J42" s="25">
        <v>169</v>
      </c>
      <c r="K42" s="24">
        <v>70</v>
      </c>
      <c r="L42" s="24">
        <v>11830</v>
      </c>
      <c r="M42" s="24">
        <v>11125</v>
      </c>
      <c r="N42" s="24">
        <v>705</v>
      </c>
      <c r="O42" s="24">
        <f t="shared" si="0"/>
        <v>2024</v>
      </c>
      <c r="P42" s="24"/>
      <c r="Q42" s="24"/>
      <c r="R42" s="24"/>
      <c r="S42" s="24"/>
      <c r="T42" s="24"/>
      <c r="U42" s="24"/>
      <c r="V42" s="27"/>
    </row>
    <row r="43" spans="1:22" x14ac:dyDescent="0.35">
      <c r="A43" s="28">
        <v>45346</v>
      </c>
      <c r="B43" s="28" t="s">
        <v>41</v>
      </c>
      <c r="C43" s="29" t="s">
        <v>23</v>
      </c>
      <c r="D43" s="29" t="s">
        <v>53</v>
      </c>
      <c r="E43" s="29" t="s">
        <v>27</v>
      </c>
      <c r="F43" s="29" t="s">
        <v>46</v>
      </c>
      <c r="G43" s="29" t="s">
        <v>26</v>
      </c>
      <c r="H43" s="29" t="s">
        <v>31</v>
      </c>
      <c r="I43" s="29" t="s">
        <v>12</v>
      </c>
      <c r="J43" s="30">
        <v>85</v>
      </c>
      <c r="K43" s="29">
        <v>75</v>
      </c>
      <c r="L43" s="29">
        <v>6375</v>
      </c>
      <c r="M43" s="29">
        <v>5762</v>
      </c>
      <c r="N43" s="29">
        <v>613</v>
      </c>
      <c r="O43" s="29">
        <f t="shared" si="0"/>
        <v>2024</v>
      </c>
      <c r="P43" s="29"/>
      <c r="Q43" s="29"/>
      <c r="R43" s="29"/>
      <c r="S43" s="29"/>
      <c r="T43" s="29"/>
      <c r="U43" s="29"/>
      <c r="V43" s="32"/>
    </row>
    <row r="44" spans="1:22" x14ac:dyDescent="0.35">
      <c r="A44" s="23">
        <v>45347</v>
      </c>
      <c r="B44" s="23" t="s">
        <v>39</v>
      </c>
      <c r="C44" s="24" t="s">
        <v>13</v>
      </c>
      <c r="D44" s="24" t="s">
        <v>55</v>
      </c>
      <c r="E44" s="24" t="s">
        <v>29</v>
      </c>
      <c r="F44" s="24" t="s">
        <v>43</v>
      </c>
      <c r="G44" s="24" t="s">
        <v>11</v>
      </c>
      <c r="H44" s="24" t="s">
        <v>33</v>
      </c>
      <c r="I44" s="24" t="s">
        <v>19</v>
      </c>
      <c r="J44" s="25">
        <v>39</v>
      </c>
      <c r="K44" s="24">
        <v>87</v>
      </c>
      <c r="L44" s="24">
        <v>3393</v>
      </c>
      <c r="M44" s="24">
        <v>2885</v>
      </c>
      <c r="N44" s="24">
        <v>508</v>
      </c>
      <c r="O44" s="24">
        <f t="shared" si="0"/>
        <v>2024</v>
      </c>
      <c r="P44" s="24"/>
      <c r="Q44" s="24"/>
      <c r="R44" s="24"/>
      <c r="S44" s="24"/>
      <c r="T44" s="24"/>
      <c r="U44" s="24"/>
      <c r="V44" s="27"/>
    </row>
    <row r="45" spans="1:22" x14ac:dyDescent="0.35">
      <c r="A45" s="28">
        <v>45348</v>
      </c>
      <c r="B45" s="28" t="s">
        <v>38</v>
      </c>
      <c r="C45" s="29" t="s">
        <v>9</v>
      </c>
      <c r="D45" s="29" t="s">
        <v>49</v>
      </c>
      <c r="E45" s="29" t="s">
        <v>14</v>
      </c>
      <c r="F45" s="29" t="s">
        <v>44</v>
      </c>
      <c r="G45" s="29" t="s">
        <v>15</v>
      </c>
      <c r="H45" s="29" t="s">
        <v>31</v>
      </c>
      <c r="I45" s="29" t="s">
        <v>12</v>
      </c>
      <c r="J45" s="30">
        <v>169</v>
      </c>
      <c r="K45" s="29">
        <v>57</v>
      </c>
      <c r="L45" s="29">
        <v>9633</v>
      </c>
      <c r="M45" s="29">
        <v>9128</v>
      </c>
      <c r="N45" s="29">
        <v>505</v>
      </c>
      <c r="O45" s="29">
        <f t="shared" si="0"/>
        <v>2024</v>
      </c>
      <c r="P45" s="29"/>
      <c r="Q45" s="29"/>
      <c r="R45" s="29"/>
      <c r="S45" s="29"/>
      <c r="T45" s="29"/>
      <c r="U45" s="29"/>
      <c r="V45" s="32"/>
    </row>
    <row r="46" spans="1:22" x14ac:dyDescent="0.35">
      <c r="A46" s="23">
        <v>45349</v>
      </c>
      <c r="B46" s="23" t="s">
        <v>38</v>
      </c>
      <c r="C46" s="24" t="s">
        <v>9</v>
      </c>
      <c r="D46" s="24" t="s">
        <v>54</v>
      </c>
      <c r="E46" s="24" t="s">
        <v>28</v>
      </c>
      <c r="F46" s="24" t="s">
        <v>45</v>
      </c>
      <c r="G46" s="24" t="s">
        <v>21</v>
      </c>
      <c r="H46" s="24" t="s">
        <v>31</v>
      </c>
      <c r="I46" s="24" t="s">
        <v>12</v>
      </c>
      <c r="J46" s="25">
        <v>61</v>
      </c>
      <c r="K46" s="24">
        <v>78</v>
      </c>
      <c r="L46" s="24">
        <v>4758</v>
      </c>
      <c r="M46" s="24">
        <v>4554</v>
      </c>
      <c r="N46" s="24">
        <v>204</v>
      </c>
      <c r="O46" s="24">
        <f t="shared" si="0"/>
        <v>2024</v>
      </c>
      <c r="P46" s="24"/>
      <c r="Q46" s="24"/>
      <c r="R46" s="24"/>
      <c r="S46" s="24"/>
      <c r="T46" s="24"/>
      <c r="U46" s="24"/>
      <c r="V46" s="27"/>
    </row>
    <row r="47" spans="1:22" x14ac:dyDescent="0.35">
      <c r="A47" s="28">
        <v>45350</v>
      </c>
      <c r="B47" s="28" t="s">
        <v>39</v>
      </c>
      <c r="C47" s="29" t="s">
        <v>13</v>
      </c>
      <c r="D47" s="29" t="s">
        <v>53</v>
      </c>
      <c r="E47" s="29" t="s">
        <v>27</v>
      </c>
      <c r="F47" s="29" t="s">
        <v>46</v>
      </c>
      <c r="G47" s="29" t="s">
        <v>26</v>
      </c>
      <c r="H47" s="29" t="s">
        <v>31</v>
      </c>
      <c r="I47" s="29" t="s">
        <v>12</v>
      </c>
      <c r="J47" s="30">
        <v>102</v>
      </c>
      <c r="K47" s="29">
        <v>51</v>
      </c>
      <c r="L47" s="29">
        <v>5202</v>
      </c>
      <c r="M47" s="29">
        <v>4383</v>
      </c>
      <c r="N47" s="29">
        <v>819</v>
      </c>
      <c r="O47" s="29">
        <f t="shared" si="0"/>
        <v>2024</v>
      </c>
      <c r="P47" s="29"/>
      <c r="Q47" s="29"/>
      <c r="R47" s="29"/>
      <c r="S47" s="29"/>
      <c r="T47" s="29"/>
      <c r="U47" s="29"/>
      <c r="V47" s="32"/>
    </row>
    <row r="48" spans="1:22" x14ac:dyDescent="0.35">
      <c r="A48" s="23">
        <v>45351</v>
      </c>
      <c r="B48" s="23" t="s">
        <v>38</v>
      </c>
      <c r="C48" s="24" t="s">
        <v>9</v>
      </c>
      <c r="D48" s="24" t="s">
        <v>49</v>
      </c>
      <c r="E48" s="24" t="s">
        <v>14</v>
      </c>
      <c r="F48" s="24" t="s">
        <v>44</v>
      </c>
      <c r="G48" s="24" t="s">
        <v>15</v>
      </c>
      <c r="H48" s="24" t="s">
        <v>35</v>
      </c>
      <c r="I48" s="24" t="s">
        <v>24</v>
      </c>
      <c r="J48" s="25">
        <v>39</v>
      </c>
      <c r="K48" s="24">
        <v>80</v>
      </c>
      <c r="L48" s="24">
        <v>3120</v>
      </c>
      <c r="M48" s="24">
        <v>2530</v>
      </c>
      <c r="N48" s="24">
        <v>590</v>
      </c>
      <c r="O48" s="24">
        <f t="shared" si="0"/>
        <v>2024</v>
      </c>
      <c r="P48" s="24"/>
      <c r="Q48" s="24"/>
      <c r="R48" s="24"/>
      <c r="S48" s="24"/>
      <c r="T48" s="24"/>
      <c r="U48" s="24"/>
      <c r="V48" s="27"/>
    </row>
    <row r="49" spans="1:22" x14ac:dyDescent="0.35">
      <c r="A49" s="28">
        <v>45352</v>
      </c>
      <c r="B49" s="28" t="s">
        <v>39</v>
      </c>
      <c r="C49" s="29" t="s">
        <v>13</v>
      </c>
      <c r="D49" s="29" t="s">
        <v>53</v>
      </c>
      <c r="E49" s="29" t="s">
        <v>27</v>
      </c>
      <c r="F49" s="29" t="s">
        <v>46</v>
      </c>
      <c r="G49" s="29" t="s">
        <v>26</v>
      </c>
      <c r="H49" s="29" t="s">
        <v>33</v>
      </c>
      <c r="I49" s="29" t="s">
        <v>19</v>
      </c>
      <c r="J49" s="30">
        <v>155</v>
      </c>
      <c r="K49" s="29">
        <v>60</v>
      </c>
      <c r="L49" s="29">
        <v>9300</v>
      </c>
      <c r="M49" s="29">
        <v>8304</v>
      </c>
      <c r="N49" s="29">
        <v>996</v>
      </c>
      <c r="O49" s="29">
        <f t="shared" si="0"/>
        <v>2024</v>
      </c>
      <c r="P49" s="29"/>
      <c r="Q49" s="29"/>
      <c r="R49" s="29"/>
      <c r="S49" s="29"/>
      <c r="T49" s="29"/>
      <c r="U49" s="29"/>
      <c r="V49" s="32"/>
    </row>
    <row r="50" spans="1:22" x14ac:dyDescent="0.35">
      <c r="A50" s="23">
        <v>45353</v>
      </c>
      <c r="B50" s="23" t="s">
        <v>39</v>
      </c>
      <c r="C50" s="24" t="s">
        <v>13</v>
      </c>
      <c r="D50" s="24" t="s">
        <v>51</v>
      </c>
      <c r="E50" s="24" t="s">
        <v>20</v>
      </c>
      <c r="F50" s="24" t="s">
        <v>45</v>
      </c>
      <c r="G50" s="24" t="s">
        <v>21</v>
      </c>
      <c r="H50" s="24" t="s">
        <v>31</v>
      </c>
      <c r="I50" s="24" t="s">
        <v>12</v>
      </c>
      <c r="J50" s="25">
        <v>42</v>
      </c>
      <c r="K50" s="24">
        <v>40</v>
      </c>
      <c r="L50" s="24">
        <v>1680</v>
      </c>
      <c r="M50" s="24">
        <v>1246</v>
      </c>
      <c r="N50" s="24">
        <v>434</v>
      </c>
      <c r="O50" s="24">
        <f t="shared" si="0"/>
        <v>2024</v>
      </c>
      <c r="P50" s="24"/>
      <c r="Q50" s="24"/>
      <c r="R50" s="24"/>
      <c r="S50" s="24"/>
      <c r="T50" s="24"/>
      <c r="U50" s="24"/>
      <c r="V50" s="27"/>
    </row>
    <row r="51" spans="1:22" x14ac:dyDescent="0.35">
      <c r="A51" s="28">
        <v>45354</v>
      </c>
      <c r="B51" s="28" t="s">
        <v>40</v>
      </c>
      <c r="C51" s="29" t="s">
        <v>17</v>
      </c>
      <c r="D51" s="29" t="s">
        <v>55</v>
      </c>
      <c r="E51" s="29" t="s">
        <v>29</v>
      </c>
      <c r="F51" s="29" t="s">
        <v>43</v>
      </c>
      <c r="G51" s="29" t="s">
        <v>11</v>
      </c>
      <c r="H51" s="29" t="s">
        <v>31</v>
      </c>
      <c r="I51" s="29" t="s">
        <v>12</v>
      </c>
      <c r="J51" s="30">
        <v>71</v>
      </c>
      <c r="K51" s="29">
        <v>100</v>
      </c>
      <c r="L51" s="29">
        <v>7100</v>
      </c>
      <c r="M51" s="29">
        <v>6122</v>
      </c>
      <c r="N51" s="29">
        <v>978</v>
      </c>
      <c r="O51" s="29">
        <f t="shared" si="0"/>
        <v>2024</v>
      </c>
      <c r="P51" s="29"/>
      <c r="Q51" s="29"/>
      <c r="R51" s="29"/>
      <c r="S51" s="29"/>
      <c r="T51" s="29"/>
      <c r="U51" s="29"/>
      <c r="V51" s="32"/>
    </row>
    <row r="52" spans="1:22" x14ac:dyDescent="0.35">
      <c r="A52" s="23">
        <v>45355</v>
      </c>
      <c r="B52" s="23" t="s">
        <v>40</v>
      </c>
      <c r="C52" s="24" t="s">
        <v>17</v>
      </c>
      <c r="D52" s="24" t="s">
        <v>53</v>
      </c>
      <c r="E52" s="24" t="s">
        <v>27</v>
      </c>
      <c r="F52" s="24" t="s">
        <v>46</v>
      </c>
      <c r="G52" s="24" t="s">
        <v>26</v>
      </c>
      <c r="H52" s="24" t="s">
        <v>31</v>
      </c>
      <c r="I52" s="24" t="s">
        <v>12</v>
      </c>
      <c r="J52" s="25">
        <v>144</v>
      </c>
      <c r="K52" s="24">
        <v>99</v>
      </c>
      <c r="L52" s="24">
        <v>14256</v>
      </c>
      <c r="M52" s="24">
        <v>13733</v>
      </c>
      <c r="N52" s="24">
        <v>523</v>
      </c>
      <c r="O52" s="24">
        <f t="shared" si="0"/>
        <v>2024</v>
      </c>
      <c r="P52" s="24"/>
      <c r="Q52" s="24"/>
      <c r="R52" s="24"/>
      <c r="S52" s="24"/>
      <c r="T52" s="24"/>
      <c r="U52" s="24"/>
      <c r="V52" s="27"/>
    </row>
    <row r="53" spans="1:22" x14ac:dyDescent="0.35">
      <c r="A53" s="28">
        <v>45356</v>
      </c>
      <c r="B53" s="28" t="s">
        <v>41</v>
      </c>
      <c r="C53" s="29" t="s">
        <v>23</v>
      </c>
      <c r="D53" s="29" t="s">
        <v>54</v>
      </c>
      <c r="E53" s="29" t="s">
        <v>28</v>
      </c>
      <c r="F53" s="29" t="s">
        <v>45</v>
      </c>
      <c r="G53" s="29" t="s">
        <v>21</v>
      </c>
      <c r="H53" s="29" t="s">
        <v>33</v>
      </c>
      <c r="I53" s="29" t="s">
        <v>19</v>
      </c>
      <c r="J53" s="30">
        <v>36</v>
      </c>
      <c r="K53" s="29">
        <v>58</v>
      </c>
      <c r="L53" s="29">
        <v>2088</v>
      </c>
      <c r="M53" s="29">
        <v>1362</v>
      </c>
      <c r="N53" s="29">
        <v>726</v>
      </c>
      <c r="O53" s="29">
        <f t="shared" si="0"/>
        <v>2024</v>
      </c>
      <c r="P53" s="29"/>
      <c r="Q53" s="29"/>
      <c r="R53" s="29"/>
      <c r="S53" s="29"/>
      <c r="T53" s="29"/>
      <c r="U53" s="29"/>
      <c r="V53" s="32"/>
    </row>
    <row r="54" spans="1:22" x14ac:dyDescent="0.35">
      <c r="A54" s="23">
        <v>45357</v>
      </c>
      <c r="B54" s="23" t="s">
        <v>38</v>
      </c>
      <c r="C54" s="24" t="s">
        <v>9</v>
      </c>
      <c r="D54" s="24" t="s">
        <v>54</v>
      </c>
      <c r="E54" s="24" t="s">
        <v>28</v>
      </c>
      <c r="F54" s="24" t="s">
        <v>45</v>
      </c>
      <c r="G54" s="24" t="s">
        <v>21</v>
      </c>
      <c r="H54" s="24" t="s">
        <v>34</v>
      </c>
      <c r="I54" s="24" t="s">
        <v>22</v>
      </c>
      <c r="J54" s="25">
        <v>110</v>
      </c>
      <c r="K54" s="24">
        <v>34</v>
      </c>
      <c r="L54" s="24">
        <v>3740</v>
      </c>
      <c r="M54" s="24">
        <v>3158</v>
      </c>
      <c r="N54" s="24">
        <v>582</v>
      </c>
      <c r="O54" s="24">
        <f t="shared" si="0"/>
        <v>2024</v>
      </c>
      <c r="P54" s="24"/>
      <c r="Q54" s="24"/>
      <c r="R54" s="24"/>
      <c r="S54" s="24"/>
      <c r="T54" s="24"/>
      <c r="U54" s="24"/>
      <c r="V54" s="27"/>
    </row>
    <row r="55" spans="1:22" x14ac:dyDescent="0.35">
      <c r="A55" s="28">
        <v>45358</v>
      </c>
      <c r="B55" s="28" t="s">
        <v>38</v>
      </c>
      <c r="C55" s="29" t="s">
        <v>9</v>
      </c>
      <c r="D55" s="29" t="s">
        <v>48</v>
      </c>
      <c r="E55" s="29" t="s">
        <v>10</v>
      </c>
      <c r="F55" s="29" t="s">
        <v>43</v>
      </c>
      <c r="G55" s="29" t="s">
        <v>11</v>
      </c>
      <c r="H55" s="29" t="s">
        <v>32</v>
      </c>
      <c r="I55" s="29" t="s">
        <v>16</v>
      </c>
      <c r="J55" s="30">
        <v>60</v>
      </c>
      <c r="K55" s="29">
        <v>95</v>
      </c>
      <c r="L55" s="29">
        <v>5700</v>
      </c>
      <c r="M55" s="29">
        <v>5460</v>
      </c>
      <c r="N55" s="29">
        <v>240</v>
      </c>
      <c r="O55" s="29">
        <f t="shared" si="0"/>
        <v>2024</v>
      </c>
      <c r="P55" s="29"/>
      <c r="Q55" s="29"/>
      <c r="R55" s="29"/>
      <c r="S55" s="29"/>
      <c r="T55" s="29"/>
      <c r="U55" s="29"/>
      <c r="V55" s="32"/>
    </row>
    <row r="56" spans="1:22" x14ac:dyDescent="0.35">
      <c r="A56" s="23">
        <v>45359</v>
      </c>
      <c r="B56" s="23" t="s">
        <v>40</v>
      </c>
      <c r="C56" s="24" t="s">
        <v>17</v>
      </c>
      <c r="D56" s="24" t="s">
        <v>55</v>
      </c>
      <c r="E56" s="24" t="s">
        <v>29</v>
      </c>
      <c r="F56" s="24" t="s">
        <v>43</v>
      </c>
      <c r="G56" s="24" t="s">
        <v>11</v>
      </c>
      <c r="H56" s="24" t="s">
        <v>31</v>
      </c>
      <c r="I56" s="24" t="s">
        <v>12</v>
      </c>
      <c r="J56" s="25">
        <v>110</v>
      </c>
      <c r="K56" s="24">
        <v>70</v>
      </c>
      <c r="L56" s="24">
        <v>7700</v>
      </c>
      <c r="M56" s="24">
        <v>7004</v>
      </c>
      <c r="N56" s="24">
        <v>696</v>
      </c>
      <c r="O56" s="24">
        <f t="shared" si="0"/>
        <v>2024</v>
      </c>
      <c r="P56" s="24"/>
      <c r="Q56" s="24"/>
      <c r="R56" s="24"/>
      <c r="S56" s="24"/>
      <c r="T56" s="24"/>
      <c r="U56" s="24"/>
      <c r="V56" s="27"/>
    </row>
    <row r="57" spans="1:22" x14ac:dyDescent="0.35">
      <c r="A57" s="28">
        <v>45360</v>
      </c>
      <c r="B57" s="28" t="s">
        <v>38</v>
      </c>
      <c r="C57" s="29" t="s">
        <v>9</v>
      </c>
      <c r="D57" s="29" t="s">
        <v>52</v>
      </c>
      <c r="E57" s="29" t="s">
        <v>25</v>
      </c>
      <c r="F57" s="29" t="s">
        <v>46</v>
      </c>
      <c r="G57" s="29" t="s">
        <v>26</v>
      </c>
      <c r="H57" s="29" t="s">
        <v>32</v>
      </c>
      <c r="I57" s="29" t="s">
        <v>16</v>
      </c>
      <c r="J57" s="30">
        <v>134</v>
      </c>
      <c r="K57" s="29">
        <v>87</v>
      </c>
      <c r="L57" s="29">
        <v>11658</v>
      </c>
      <c r="M57" s="29">
        <v>11241</v>
      </c>
      <c r="N57" s="29">
        <v>417</v>
      </c>
      <c r="O57" s="29">
        <f t="shared" si="0"/>
        <v>2024</v>
      </c>
      <c r="P57" s="29"/>
      <c r="Q57" s="29"/>
      <c r="R57" s="29"/>
      <c r="S57" s="29"/>
      <c r="T57" s="29"/>
      <c r="U57" s="29"/>
      <c r="V57" s="32"/>
    </row>
    <row r="58" spans="1:22" x14ac:dyDescent="0.35">
      <c r="A58" s="23">
        <v>45361</v>
      </c>
      <c r="B58" s="23" t="s">
        <v>41</v>
      </c>
      <c r="C58" s="24" t="s">
        <v>23</v>
      </c>
      <c r="D58" s="24" t="s">
        <v>52</v>
      </c>
      <c r="E58" s="24" t="s">
        <v>25</v>
      </c>
      <c r="F58" s="24" t="s">
        <v>46</v>
      </c>
      <c r="G58" s="24" t="s">
        <v>26</v>
      </c>
      <c r="H58" s="24" t="s">
        <v>32</v>
      </c>
      <c r="I58" s="24" t="s">
        <v>16</v>
      </c>
      <c r="J58" s="25">
        <v>20</v>
      </c>
      <c r="K58" s="24">
        <v>35</v>
      </c>
      <c r="L58" s="24">
        <v>700</v>
      </c>
      <c r="M58" s="24">
        <v>399</v>
      </c>
      <c r="N58" s="24">
        <v>301</v>
      </c>
      <c r="O58" s="24">
        <f t="shared" si="0"/>
        <v>2024</v>
      </c>
      <c r="P58" s="24"/>
      <c r="Q58" s="24"/>
      <c r="R58" s="24"/>
      <c r="S58" s="24"/>
      <c r="T58" s="24"/>
      <c r="U58" s="24"/>
      <c r="V58" s="27"/>
    </row>
    <row r="59" spans="1:22" x14ac:dyDescent="0.35">
      <c r="A59" s="28">
        <v>45362</v>
      </c>
      <c r="B59" s="28" t="s">
        <v>39</v>
      </c>
      <c r="C59" s="29" t="s">
        <v>13</v>
      </c>
      <c r="D59" s="29" t="s">
        <v>51</v>
      </c>
      <c r="E59" s="29" t="s">
        <v>20</v>
      </c>
      <c r="F59" s="29" t="s">
        <v>45</v>
      </c>
      <c r="G59" s="29" t="s">
        <v>21</v>
      </c>
      <c r="H59" s="29" t="s">
        <v>31</v>
      </c>
      <c r="I59" s="29" t="s">
        <v>12</v>
      </c>
      <c r="J59" s="30">
        <v>24</v>
      </c>
      <c r="K59" s="29">
        <v>34</v>
      </c>
      <c r="L59" s="29">
        <v>816</v>
      </c>
      <c r="M59" s="29">
        <v>625</v>
      </c>
      <c r="N59" s="29">
        <v>191</v>
      </c>
      <c r="O59" s="29">
        <f t="shared" si="0"/>
        <v>2024</v>
      </c>
      <c r="P59" s="29"/>
      <c r="Q59" s="29"/>
      <c r="R59" s="29"/>
      <c r="S59" s="29"/>
      <c r="T59" s="29"/>
      <c r="U59" s="29"/>
      <c r="V59" s="32"/>
    </row>
    <row r="60" spans="1:22" x14ac:dyDescent="0.35">
      <c r="A60" s="23">
        <v>45363</v>
      </c>
      <c r="B60" s="23" t="s">
        <v>39</v>
      </c>
      <c r="C60" s="24" t="s">
        <v>13</v>
      </c>
      <c r="D60" s="24" t="s">
        <v>51</v>
      </c>
      <c r="E60" s="24" t="s">
        <v>20</v>
      </c>
      <c r="F60" s="24" t="s">
        <v>45</v>
      </c>
      <c r="G60" s="24" t="s">
        <v>21</v>
      </c>
      <c r="H60" s="24" t="s">
        <v>31</v>
      </c>
      <c r="I60" s="24" t="s">
        <v>12</v>
      </c>
      <c r="J60" s="25">
        <v>70</v>
      </c>
      <c r="K60" s="24">
        <v>57</v>
      </c>
      <c r="L60" s="24">
        <v>3990</v>
      </c>
      <c r="M60" s="24">
        <v>3571</v>
      </c>
      <c r="N60" s="24">
        <v>419</v>
      </c>
      <c r="O60" s="24">
        <f t="shared" si="0"/>
        <v>2024</v>
      </c>
      <c r="P60" s="24"/>
      <c r="Q60" s="24"/>
      <c r="R60" s="24"/>
      <c r="S60" s="24"/>
      <c r="T60" s="24"/>
      <c r="U60" s="24"/>
      <c r="V60" s="27"/>
    </row>
    <row r="61" spans="1:22" x14ac:dyDescent="0.35">
      <c r="A61" s="28">
        <v>45364</v>
      </c>
      <c r="B61" s="28" t="s">
        <v>38</v>
      </c>
      <c r="C61" s="29" t="s">
        <v>9</v>
      </c>
      <c r="D61" s="29" t="s">
        <v>48</v>
      </c>
      <c r="E61" s="29" t="s">
        <v>10</v>
      </c>
      <c r="F61" s="29" t="s">
        <v>43</v>
      </c>
      <c r="G61" s="29" t="s">
        <v>11</v>
      </c>
      <c r="H61" s="29" t="s">
        <v>32</v>
      </c>
      <c r="I61" s="29" t="s">
        <v>16</v>
      </c>
      <c r="J61" s="30">
        <v>158</v>
      </c>
      <c r="K61" s="29">
        <v>60</v>
      </c>
      <c r="L61" s="29">
        <v>9480</v>
      </c>
      <c r="M61" s="29">
        <v>9029</v>
      </c>
      <c r="N61" s="29">
        <v>451</v>
      </c>
      <c r="O61" s="29">
        <f t="shared" si="0"/>
        <v>2024</v>
      </c>
      <c r="P61" s="29"/>
      <c r="Q61" s="29"/>
      <c r="R61" s="29"/>
      <c r="S61" s="29"/>
      <c r="T61" s="29"/>
      <c r="U61" s="29"/>
      <c r="V61" s="32"/>
    </row>
    <row r="62" spans="1:22" x14ac:dyDescent="0.35">
      <c r="A62" s="23">
        <v>45365</v>
      </c>
      <c r="B62" s="23" t="s">
        <v>38</v>
      </c>
      <c r="C62" s="24" t="s">
        <v>9</v>
      </c>
      <c r="D62" s="24" t="s">
        <v>48</v>
      </c>
      <c r="E62" s="24" t="s">
        <v>10</v>
      </c>
      <c r="F62" s="24" t="s">
        <v>43</v>
      </c>
      <c r="G62" s="24" t="s">
        <v>11</v>
      </c>
      <c r="H62" s="24" t="s">
        <v>33</v>
      </c>
      <c r="I62" s="24" t="s">
        <v>19</v>
      </c>
      <c r="J62" s="25">
        <v>191</v>
      </c>
      <c r="K62" s="24">
        <v>40</v>
      </c>
      <c r="L62" s="24">
        <v>7640</v>
      </c>
      <c r="M62" s="24">
        <v>6874</v>
      </c>
      <c r="N62" s="24">
        <v>766</v>
      </c>
      <c r="O62" s="24">
        <f t="shared" si="0"/>
        <v>2024</v>
      </c>
      <c r="P62" s="24"/>
      <c r="Q62" s="24"/>
      <c r="R62" s="24"/>
      <c r="S62" s="24"/>
      <c r="T62" s="24"/>
      <c r="U62" s="24"/>
      <c r="V62" s="27"/>
    </row>
    <row r="63" spans="1:22" x14ac:dyDescent="0.35">
      <c r="A63" s="28">
        <v>45366</v>
      </c>
      <c r="B63" s="28" t="s">
        <v>41</v>
      </c>
      <c r="C63" s="29" t="s">
        <v>23</v>
      </c>
      <c r="D63" s="29" t="s">
        <v>53</v>
      </c>
      <c r="E63" s="29" t="s">
        <v>27</v>
      </c>
      <c r="F63" s="29" t="s">
        <v>46</v>
      </c>
      <c r="G63" s="29" t="s">
        <v>26</v>
      </c>
      <c r="H63" s="29" t="s">
        <v>35</v>
      </c>
      <c r="I63" s="29" t="s">
        <v>24</v>
      </c>
      <c r="J63" s="30">
        <v>119</v>
      </c>
      <c r="K63" s="29">
        <v>96</v>
      </c>
      <c r="L63" s="29">
        <v>11424</v>
      </c>
      <c r="M63" s="29">
        <v>11271</v>
      </c>
      <c r="N63" s="29">
        <v>153</v>
      </c>
      <c r="O63" s="29">
        <f t="shared" si="0"/>
        <v>2024</v>
      </c>
      <c r="P63" s="29"/>
      <c r="Q63" s="29"/>
      <c r="R63" s="29"/>
      <c r="S63" s="29"/>
      <c r="T63" s="29"/>
      <c r="U63" s="29"/>
      <c r="V63" s="32"/>
    </row>
    <row r="64" spans="1:22" x14ac:dyDescent="0.35">
      <c r="A64" s="23">
        <v>45367</v>
      </c>
      <c r="B64" s="23" t="s">
        <v>39</v>
      </c>
      <c r="C64" s="24" t="s">
        <v>13</v>
      </c>
      <c r="D64" s="24" t="s">
        <v>48</v>
      </c>
      <c r="E64" s="24" t="s">
        <v>10</v>
      </c>
      <c r="F64" s="24" t="s">
        <v>43</v>
      </c>
      <c r="G64" s="24" t="s">
        <v>11</v>
      </c>
      <c r="H64" s="24" t="s">
        <v>31</v>
      </c>
      <c r="I64" s="24" t="s">
        <v>12</v>
      </c>
      <c r="J64" s="25">
        <v>154</v>
      </c>
      <c r="K64" s="24">
        <v>45</v>
      </c>
      <c r="L64" s="24">
        <v>6930</v>
      </c>
      <c r="M64" s="24">
        <v>6350</v>
      </c>
      <c r="N64" s="24">
        <v>580</v>
      </c>
      <c r="O64" s="24">
        <f t="shared" si="0"/>
        <v>2024</v>
      </c>
      <c r="P64" s="24"/>
      <c r="Q64" s="24"/>
      <c r="R64" s="24"/>
      <c r="S64" s="24"/>
      <c r="T64" s="24"/>
      <c r="U64" s="24"/>
      <c r="V64" s="27"/>
    </row>
    <row r="65" spans="1:22" x14ac:dyDescent="0.35">
      <c r="A65" s="28">
        <v>45368</v>
      </c>
      <c r="B65" s="28" t="s">
        <v>40</v>
      </c>
      <c r="C65" s="29" t="s">
        <v>17</v>
      </c>
      <c r="D65" s="29" t="s">
        <v>50</v>
      </c>
      <c r="E65" s="29" t="s">
        <v>18</v>
      </c>
      <c r="F65" s="29" t="s">
        <v>44</v>
      </c>
      <c r="G65" s="29" t="s">
        <v>15</v>
      </c>
      <c r="H65" s="29" t="s">
        <v>32</v>
      </c>
      <c r="I65" s="29" t="s">
        <v>16</v>
      </c>
      <c r="J65" s="30">
        <v>190</v>
      </c>
      <c r="K65" s="29">
        <v>33</v>
      </c>
      <c r="L65" s="29">
        <v>6270</v>
      </c>
      <c r="M65" s="29">
        <v>6098</v>
      </c>
      <c r="N65" s="29">
        <v>172</v>
      </c>
      <c r="O65" s="29">
        <f t="shared" si="0"/>
        <v>2024</v>
      </c>
      <c r="P65" s="29"/>
      <c r="Q65" s="29"/>
      <c r="R65" s="29"/>
      <c r="S65" s="29"/>
      <c r="T65" s="29"/>
      <c r="U65" s="29"/>
      <c r="V65" s="32"/>
    </row>
    <row r="66" spans="1:22" x14ac:dyDescent="0.35">
      <c r="A66" s="23">
        <v>45369</v>
      </c>
      <c r="B66" s="23" t="s">
        <v>38</v>
      </c>
      <c r="C66" s="24" t="s">
        <v>9</v>
      </c>
      <c r="D66" s="24" t="s">
        <v>49</v>
      </c>
      <c r="E66" s="24" t="s">
        <v>14</v>
      </c>
      <c r="F66" s="24" t="s">
        <v>44</v>
      </c>
      <c r="G66" s="24" t="s">
        <v>15</v>
      </c>
      <c r="H66" s="24" t="s">
        <v>32</v>
      </c>
      <c r="I66" s="24" t="s">
        <v>16</v>
      </c>
      <c r="J66" s="25">
        <v>134</v>
      </c>
      <c r="K66" s="24">
        <v>52</v>
      </c>
      <c r="L66" s="24">
        <v>6968</v>
      </c>
      <c r="M66" s="24">
        <v>6650</v>
      </c>
      <c r="N66" s="24">
        <v>318</v>
      </c>
      <c r="O66" s="24">
        <f t="shared" si="0"/>
        <v>2024</v>
      </c>
      <c r="P66" s="24"/>
      <c r="Q66" s="24"/>
      <c r="R66" s="24"/>
      <c r="S66" s="24"/>
      <c r="T66" s="24"/>
      <c r="U66" s="24"/>
      <c r="V66" s="27"/>
    </row>
    <row r="67" spans="1:22" x14ac:dyDescent="0.35">
      <c r="A67" s="28">
        <v>45370</v>
      </c>
      <c r="B67" s="28" t="s">
        <v>38</v>
      </c>
      <c r="C67" s="29" t="s">
        <v>9</v>
      </c>
      <c r="D67" s="29" t="s">
        <v>48</v>
      </c>
      <c r="E67" s="29" t="s">
        <v>10</v>
      </c>
      <c r="F67" s="29" t="s">
        <v>43</v>
      </c>
      <c r="G67" s="29" t="s">
        <v>11</v>
      </c>
      <c r="H67" s="29" t="s">
        <v>35</v>
      </c>
      <c r="I67" s="29" t="s">
        <v>24</v>
      </c>
      <c r="J67" s="30">
        <v>195</v>
      </c>
      <c r="K67" s="29">
        <v>88</v>
      </c>
      <c r="L67" s="29">
        <v>17160</v>
      </c>
      <c r="M67" s="29">
        <v>16882</v>
      </c>
      <c r="N67" s="29">
        <v>278</v>
      </c>
      <c r="O67" s="29">
        <f t="shared" ref="O67:O130" si="1">YEAR(A67)</f>
        <v>2024</v>
      </c>
      <c r="P67" s="29"/>
      <c r="Q67" s="29"/>
      <c r="R67" s="29"/>
      <c r="S67" s="29"/>
      <c r="T67" s="29"/>
      <c r="U67" s="29"/>
      <c r="V67" s="32"/>
    </row>
    <row r="68" spans="1:22" x14ac:dyDescent="0.35">
      <c r="A68" s="23">
        <v>45371</v>
      </c>
      <c r="B68" s="23" t="s">
        <v>40</v>
      </c>
      <c r="C68" s="24" t="s">
        <v>17</v>
      </c>
      <c r="D68" s="24" t="s">
        <v>53</v>
      </c>
      <c r="E68" s="24" t="s">
        <v>27</v>
      </c>
      <c r="F68" s="24" t="s">
        <v>46</v>
      </c>
      <c r="G68" s="24" t="s">
        <v>26</v>
      </c>
      <c r="H68" s="24" t="s">
        <v>35</v>
      </c>
      <c r="I68" s="24" t="s">
        <v>24</v>
      </c>
      <c r="J68" s="25">
        <v>57</v>
      </c>
      <c r="K68" s="24">
        <v>94</v>
      </c>
      <c r="L68" s="24">
        <v>5358</v>
      </c>
      <c r="M68" s="24">
        <v>4676</v>
      </c>
      <c r="N68" s="24">
        <v>682</v>
      </c>
      <c r="O68" s="24">
        <f t="shared" si="1"/>
        <v>2024</v>
      </c>
      <c r="P68" s="24"/>
      <c r="Q68" s="24"/>
      <c r="R68" s="24"/>
      <c r="S68" s="24"/>
      <c r="T68" s="24"/>
      <c r="U68" s="24"/>
      <c r="V68" s="27"/>
    </row>
    <row r="69" spans="1:22" x14ac:dyDescent="0.35">
      <c r="A69" s="28">
        <v>45372</v>
      </c>
      <c r="B69" s="28" t="s">
        <v>41</v>
      </c>
      <c r="C69" s="29" t="s">
        <v>23</v>
      </c>
      <c r="D69" s="29" t="s">
        <v>53</v>
      </c>
      <c r="E69" s="29" t="s">
        <v>27</v>
      </c>
      <c r="F69" s="29" t="s">
        <v>46</v>
      </c>
      <c r="G69" s="29" t="s">
        <v>26</v>
      </c>
      <c r="H69" s="29" t="s">
        <v>31</v>
      </c>
      <c r="I69" s="29" t="s">
        <v>12</v>
      </c>
      <c r="J69" s="30">
        <v>23</v>
      </c>
      <c r="K69" s="29">
        <v>44</v>
      </c>
      <c r="L69" s="29">
        <v>1012</v>
      </c>
      <c r="M69" s="29">
        <v>759</v>
      </c>
      <c r="N69" s="29">
        <v>253</v>
      </c>
      <c r="O69" s="29">
        <f t="shared" si="1"/>
        <v>2024</v>
      </c>
      <c r="P69" s="29"/>
      <c r="Q69" s="29"/>
      <c r="R69" s="29"/>
      <c r="S69" s="29"/>
      <c r="T69" s="29"/>
      <c r="U69" s="29"/>
      <c r="V69" s="32"/>
    </row>
    <row r="70" spans="1:22" x14ac:dyDescent="0.35">
      <c r="A70" s="23">
        <v>45373</v>
      </c>
      <c r="B70" s="23" t="s">
        <v>41</v>
      </c>
      <c r="C70" s="24" t="s">
        <v>23</v>
      </c>
      <c r="D70" s="24" t="s">
        <v>51</v>
      </c>
      <c r="E70" s="24" t="s">
        <v>20</v>
      </c>
      <c r="F70" s="24" t="s">
        <v>45</v>
      </c>
      <c r="G70" s="24" t="s">
        <v>21</v>
      </c>
      <c r="H70" s="24" t="s">
        <v>31</v>
      </c>
      <c r="I70" s="24" t="s">
        <v>12</v>
      </c>
      <c r="J70" s="25">
        <v>30</v>
      </c>
      <c r="K70" s="24">
        <v>86</v>
      </c>
      <c r="L70" s="24">
        <v>2580</v>
      </c>
      <c r="M70" s="24">
        <v>2263</v>
      </c>
      <c r="N70" s="24">
        <v>317</v>
      </c>
      <c r="O70" s="24">
        <f t="shared" si="1"/>
        <v>2024</v>
      </c>
      <c r="P70" s="24"/>
      <c r="Q70" s="24"/>
      <c r="R70" s="24"/>
      <c r="S70" s="24"/>
      <c r="T70" s="24"/>
      <c r="U70" s="24"/>
      <c r="V70" s="27"/>
    </row>
    <row r="71" spans="1:22" x14ac:dyDescent="0.35">
      <c r="A71" s="28">
        <v>45374</v>
      </c>
      <c r="B71" s="28" t="s">
        <v>40</v>
      </c>
      <c r="C71" s="29" t="s">
        <v>17</v>
      </c>
      <c r="D71" s="29" t="s">
        <v>53</v>
      </c>
      <c r="E71" s="29" t="s">
        <v>27</v>
      </c>
      <c r="F71" s="29" t="s">
        <v>46</v>
      </c>
      <c r="G71" s="29" t="s">
        <v>26</v>
      </c>
      <c r="H71" s="29" t="s">
        <v>35</v>
      </c>
      <c r="I71" s="29" t="s">
        <v>24</v>
      </c>
      <c r="J71" s="30">
        <v>28</v>
      </c>
      <c r="K71" s="29">
        <v>39</v>
      </c>
      <c r="L71" s="29">
        <v>1092</v>
      </c>
      <c r="M71" s="29">
        <v>200</v>
      </c>
      <c r="N71" s="29">
        <v>892</v>
      </c>
      <c r="O71" s="29">
        <f t="shared" si="1"/>
        <v>2024</v>
      </c>
      <c r="P71" s="29"/>
      <c r="Q71" s="29"/>
      <c r="R71" s="29"/>
      <c r="S71" s="29"/>
      <c r="T71" s="29"/>
      <c r="U71" s="29"/>
      <c r="V71" s="32"/>
    </row>
    <row r="72" spans="1:22" x14ac:dyDescent="0.35">
      <c r="A72" s="23">
        <v>45375</v>
      </c>
      <c r="B72" s="23" t="s">
        <v>41</v>
      </c>
      <c r="C72" s="24" t="s">
        <v>23</v>
      </c>
      <c r="D72" s="24" t="s">
        <v>51</v>
      </c>
      <c r="E72" s="24" t="s">
        <v>20</v>
      </c>
      <c r="F72" s="24" t="s">
        <v>45</v>
      </c>
      <c r="G72" s="24" t="s">
        <v>21</v>
      </c>
      <c r="H72" s="24" t="s">
        <v>35</v>
      </c>
      <c r="I72" s="24" t="s">
        <v>24</v>
      </c>
      <c r="J72" s="25">
        <v>132</v>
      </c>
      <c r="K72" s="24">
        <v>92</v>
      </c>
      <c r="L72" s="24">
        <v>12144</v>
      </c>
      <c r="M72" s="24">
        <v>11977</v>
      </c>
      <c r="N72" s="24">
        <v>167</v>
      </c>
      <c r="O72" s="24">
        <f t="shared" si="1"/>
        <v>2024</v>
      </c>
      <c r="P72" s="24"/>
      <c r="Q72" s="24"/>
      <c r="R72" s="24"/>
      <c r="S72" s="24"/>
      <c r="T72" s="24"/>
      <c r="U72" s="24"/>
      <c r="V72" s="27"/>
    </row>
    <row r="73" spans="1:22" x14ac:dyDescent="0.35">
      <c r="A73" s="28">
        <v>45376</v>
      </c>
      <c r="B73" s="28" t="s">
        <v>40</v>
      </c>
      <c r="C73" s="29" t="s">
        <v>17</v>
      </c>
      <c r="D73" s="29" t="s">
        <v>49</v>
      </c>
      <c r="E73" s="29" t="s">
        <v>14</v>
      </c>
      <c r="F73" s="29" t="s">
        <v>44</v>
      </c>
      <c r="G73" s="29" t="s">
        <v>15</v>
      </c>
      <c r="H73" s="29" t="s">
        <v>31</v>
      </c>
      <c r="I73" s="29" t="s">
        <v>12</v>
      </c>
      <c r="J73" s="30">
        <v>104</v>
      </c>
      <c r="K73" s="29">
        <v>36</v>
      </c>
      <c r="L73" s="29">
        <v>3744</v>
      </c>
      <c r="M73" s="29">
        <v>3616</v>
      </c>
      <c r="N73" s="29">
        <v>128</v>
      </c>
      <c r="O73" s="29">
        <f t="shared" si="1"/>
        <v>2024</v>
      </c>
      <c r="P73" s="29"/>
      <c r="Q73" s="29"/>
      <c r="R73" s="29"/>
      <c r="S73" s="29"/>
      <c r="T73" s="29"/>
      <c r="U73" s="29"/>
      <c r="V73" s="32"/>
    </row>
    <row r="74" spans="1:22" x14ac:dyDescent="0.35">
      <c r="A74" s="23">
        <v>45377</v>
      </c>
      <c r="B74" s="23" t="s">
        <v>39</v>
      </c>
      <c r="C74" s="24" t="s">
        <v>13</v>
      </c>
      <c r="D74" s="24" t="s">
        <v>49</v>
      </c>
      <c r="E74" s="24" t="s">
        <v>14</v>
      </c>
      <c r="F74" s="24" t="s">
        <v>44</v>
      </c>
      <c r="G74" s="24" t="s">
        <v>15</v>
      </c>
      <c r="H74" s="24" t="s">
        <v>33</v>
      </c>
      <c r="I74" s="24" t="s">
        <v>19</v>
      </c>
      <c r="J74" s="25">
        <v>93</v>
      </c>
      <c r="K74" s="24">
        <v>68</v>
      </c>
      <c r="L74" s="24">
        <v>6324</v>
      </c>
      <c r="M74" s="24">
        <v>5691</v>
      </c>
      <c r="N74" s="24">
        <v>633</v>
      </c>
      <c r="O74" s="24">
        <f t="shared" si="1"/>
        <v>2024</v>
      </c>
      <c r="P74" s="24"/>
      <c r="Q74" s="24"/>
      <c r="R74" s="24"/>
      <c r="S74" s="24"/>
      <c r="T74" s="24"/>
      <c r="U74" s="24"/>
      <c r="V74" s="27"/>
    </row>
    <row r="75" spans="1:22" x14ac:dyDescent="0.35">
      <c r="A75" s="28">
        <v>45378</v>
      </c>
      <c r="B75" s="28" t="s">
        <v>38</v>
      </c>
      <c r="C75" s="29" t="s">
        <v>9</v>
      </c>
      <c r="D75" s="29" t="s">
        <v>51</v>
      </c>
      <c r="E75" s="29" t="s">
        <v>20</v>
      </c>
      <c r="F75" s="29" t="s">
        <v>45</v>
      </c>
      <c r="G75" s="29" t="s">
        <v>21</v>
      </c>
      <c r="H75" s="29" t="s">
        <v>32</v>
      </c>
      <c r="I75" s="29" t="s">
        <v>16</v>
      </c>
      <c r="J75" s="30">
        <v>164</v>
      </c>
      <c r="K75" s="29">
        <v>67</v>
      </c>
      <c r="L75" s="29">
        <v>10988</v>
      </c>
      <c r="M75" s="29">
        <v>10320</v>
      </c>
      <c r="N75" s="29">
        <v>668</v>
      </c>
      <c r="O75" s="29">
        <f t="shared" si="1"/>
        <v>2024</v>
      </c>
      <c r="P75" s="29"/>
      <c r="Q75" s="29"/>
      <c r="R75" s="29"/>
      <c r="S75" s="29"/>
      <c r="T75" s="29"/>
      <c r="U75" s="29"/>
      <c r="V75" s="32"/>
    </row>
    <row r="76" spans="1:22" x14ac:dyDescent="0.35">
      <c r="A76" s="23">
        <v>45379</v>
      </c>
      <c r="B76" s="23" t="s">
        <v>39</v>
      </c>
      <c r="C76" s="24" t="s">
        <v>13</v>
      </c>
      <c r="D76" s="24" t="s">
        <v>53</v>
      </c>
      <c r="E76" s="24" t="s">
        <v>27</v>
      </c>
      <c r="F76" s="24" t="s">
        <v>46</v>
      </c>
      <c r="G76" s="24" t="s">
        <v>26</v>
      </c>
      <c r="H76" s="24" t="s">
        <v>34</v>
      </c>
      <c r="I76" s="24" t="s">
        <v>22</v>
      </c>
      <c r="J76" s="25">
        <v>77</v>
      </c>
      <c r="K76" s="24">
        <v>78</v>
      </c>
      <c r="L76" s="24">
        <v>6006</v>
      </c>
      <c r="M76" s="24">
        <v>5245</v>
      </c>
      <c r="N76" s="24">
        <v>761</v>
      </c>
      <c r="O76" s="24">
        <f t="shared" si="1"/>
        <v>2024</v>
      </c>
      <c r="P76" s="24"/>
      <c r="Q76" s="24"/>
      <c r="R76" s="24"/>
      <c r="S76" s="24"/>
      <c r="T76" s="24"/>
      <c r="U76" s="24"/>
      <c r="V76" s="27"/>
    </row>
    <row r="77" spans="1:22" x14ac:dyDescent="0.35">
      <c r="A77" s="28">
        <v>45380</v>
      </c>
      <c r="B77" s="28" t="s">
        <v>38</v>
      </c>
      <c r="C77" s="29" t="s">
        <v>9</v>
      </c>
      <c r="D77" s="29" t="s">
        <v>53</v>
      </c>
      <c r="E77" s="29" t="s">
        <v>27</v>
      </c>
      <c r="F77" s="29" t="s">
        <v>46</v>
      </c>
      <c r="G77" s="29" t="s">
        <v>26</v>
      </c>
      <c r="H77" s="29" t="s">
        <v>31</v>
      </c>
      <c r="I77" s="29" t="s">
        <v>12</v>
      </c>
      <c r="J77" s="30">
        <v>182</v>
      </c>
      <c r="K77" s="29">
        <v>76</v>
      </c>
      <c r="L77" s="29">
        <v>13832</v>
      </c>
      <c r="M77" s="29">
        <v>12975</v>
      </c>
      <c r="N77" s="29">
        <v>857</v>
      </c>
      <c r="O77" s="29">
        <f t="shared" si="1"/>
        <v>2024</v>
      </c>
      <c r="P77" s="29"/>
      <c r="Q77" s="29"/>
      <c r="R77" s="29"/>
      <c r="S77" s="29"/>
      <c r="T77" s="29"/>
      <c r="U77" s="29"/>
      <c r="V77" s="32"/>
    </row>
    <row r="78" spans="1:22" x14ac:dyDescent="0.35">
      <c r="A78" s="23">
        <v>45381</v>
      </c>
      <c r="B78" s="23" t="s">
        <v>40</v>
      </c>
      <c r="C78" s="24" t="s">
        <v>17</v>
      </c>
      <c r="D78" s="24" t="s">
        <v>52</v>
      </c>
      <c r="E78" s="24" t="s">
        <v>25</v>
      </c>
      <c r="F78" s="24" t="s">
        <v>46</v>
      </c>
      <c r="G78" s="24" t="s">
        <v>26</v>
      </c>
      <c r="H78" s="24" t="s">
        <v>32</v>
      </c>
      <c r="I78" s="24" t="s">
        <v>16</v>
      </c>
      <c r="J78" s="25">
        <v>92</v>
      </c>
      <c r="K78" s="24">
        <v>92</v>
      </c>
      <c r="L78" s="24">
        <v>8464</v>
      </c>
      <c r="M78" s="24">
        <v>7602</v>
      </c>
      <c r="N78" s="24">
        <v>862</v>
      </c>
      <c r="O78" s="24">
        <f t="shared" si="1"/>
        <v>2024</v>
      </c>
      <c r="P78" s="24"/>
      <c r="Q78" s="24"/>
      <c r="R78" s="24"/>
      <c r="S78" s="24"/>
      <c r="T78" s="24"/>
      <c r="U78" s="24"/>
      <c r="V78" s="27"/>
    </row>
    <row r="79" spans="1:22" x14ac:dyDescent="0.35">
      <c r="A79" s="28">
        <v>45382</v>
      </c>
      <c r="B79" s="28" t="s">
        <v>40</v>
      </c>
      <c r="C79" s="29" t="s">
        <v>17</v>
      </c>
      <c r="D79" s="29" t="s">
        <v>51</v>
      </c>
      <c r="E79" s="29" t="s">
        <v>20</v>
      </c>
      <c r="F79" s="29" t="s">
        <v>45</v>
      </c>
      <c r="G79" s="29" t="s">
        <v>21</v>
      </c>
      <c r="H79" s="29" t="s">
        <v>32</v>
      </c>
      <c r="I79" s="29" t="s">
        <v>16</v>
      </c>
      <c r="J79" s="30">
        <v>134</v>
      </c>
      <c r="K79" s="29">
        <v>66</v>
      </c>
      <c r="L79" s="29">
        <v>8844</v>
      </c>
      <c r="M79" s="29">
        <v>7892</v>
      </c>
      <c r="N79" s="29">
        <v>952</v>
      </c>
      <c r="O79" s="29">
        <f t="shared" si="1"/>
        <v>2024</v>
      </c>
      <c r="P79" s="29"/>
      <c r="Q79" s="29"/>
      <c r="R79" s="29"/>
      <c r="S79" s="29"/>
      <c r="T79" s="29"/>
      <c r="U79" s="29"/>
      <c r="V79" s="32"/>
    </row>
    <row r="80" spans="1:22" x14ac:dyDescent="0.35">
      <c r="A80" s="23">
        <v>45383</v>
      </c>
      <c r="B80" s="23" t="s">
        <v>39</v>
      </c>
      <c r="C80" s="24" t="s">
        <v>13</v>
      </c>
      <c r="D80" s="24" t="s">
        <v>50</v>
      </c>
      <c r="E80" s="24" t="s">
        <v>18</v>
      </c>
      <c r="F80" s="24" t="s">
        <v>44</v>
      </c>
      <c r="G80" s="24" t="s">
        <v>15</v>
      </c>
      <c r="H80" s="24" t="s">
        <v>33</v>
      </c>
      <c r="I80" s="24" t="s">
        <v>19</v>
      </c>
      <c r="J80" s="25">
        <v>46</v>
      </c>
      <c r="K80" s="24">
        <v>51</v>
      </c>
      <c r="L80" s="24">
        <v>2346</v>
      </c>
      <c r="M80" s="24">
        <v>1963</v>
      </c>
      <c r="N80" s="24">
        <v>383</v>
      </c>
      <c r="O80" s="24">
        <f t="shared" si="1"/>
        <v>2024</v>
      </c>
      <c r="P80" s="24"/>
      <c r="Q80" s="24"/>
      <c r="R80" s="24"/>
      <c r="S80" s="24"/>
      <c r="T80" s="24"/>
      <c r="U80" s="24"/>
      <c r="V80" s="27"/>
    </row>
    <row r="81" spans="1:22" x14ac:dyDescent="0.35">
      <c r="A81" s="28">
        <v>45384</v>
      </c>
      <c r="B81" s="28" t="s">
        <v>38</v>
      </c>
      <c r="C81" s="29" t="s">
        <v>9</v>
      </c>
      <c r="D81" s="29" t="s">
        <v>54</v>
      </c>
      <c r="E81" s="29" t="s">
        <v>28</v>
      </c>
      <c r="F81" s="29" t="s">
        <v>45</v>
      </c>
      <c r="G81" s="29" t="s">
        <v>21</v>
      </c>
      <c r="H81" s="29" t="s">
        <v>35</v>
      </c>
      <c r="I81" s="29" t="s">
        <v>24</v>
      </c>
      <c r="J81" s="30">
        <v>25</v>
      </c>
      <c r="K81" s="29">
        <v>33</v>
      </c>
      <c r="L81" s="29">
        <v>825</v>
      </c>
      <c r="M81" s="29">
        <v>554</v>
      </c>
      <c r="N81" s="29">
        <v>271</v>
      </c>
      <c r="O81" s="29">
        <f t="shared" si="1"/>
        <v>2024</v>
      </c>
      <c r="P81" s="29"/>
      <c r="Q81" s="29"/>
      <c r="R81" s="29"/>
      <c r="S81" s="29"/>
      <c r="T81" s="29"/>
      <c r="U81" s="29"/>
      <c r="V81" s="32"/>
    </row>
    <row r="82" spans="1:22" x14ac:dyDescent="0.35">
      <c r="A82" s="23">
        <v>45385</v>
      </c>
      <c r="B82" s="23" t="s">
        <v>38</v>
      </c>
      <c r="C82" s="24" t="s">
        <v>9</v>
      </c>
      <c r="D82" s="24" t="s">
        <v>51</v>
      </c>
      <c r="E82" s="24" t="s">
        <v>20</v>
      </c>
      <c r="F82" s="24" t="s">
        <v>45</v>
      </c>
      <c r="G82" s="24" t="s">
        <v>21</v>
      </c>
      <c r="H82" s="24" t="s">
        <v>32</v>
      </c>
      <c r="I82" s="24" t="s">
        <v>16</v>
      </c>
      <c r="J82" s="25">
        <v>187</v>
      </c>
      <c r="K82" s="24">
        <v>37</v>
      </c>
      <c r="L82" s="24">
        <v>6919</v>
      </c>
      <c r="M82" s="24">
        <v>6201</v>
      </c>
      <c r="N82" s="24">
        <v>718</v>
      </c>
      <c r="O82" s="24">
        <f t="shared" si="1"/>
        <v>2024</v>
      </c>
      <c r="P82" s="24"/>
      <c r="Q82" s="24"/>
      <c r="R82" s="24"/>
      <c r="S82" s="24"/>
      <c r="T82" s="24"/>
      <c r="U82" s="24"/>
      <c r="V82" s="27"/>
    </row>
    <row r="83" spans="1:22" x14ac:dyDescent="0.35">
      <c r="A83" s="28">
        <v>45386</v>
      </c>
      <c r="B83" s="28" t="s">
        <v>41</v>
      </c>
      <c r="C83" s="29" t="s">
        <v>23</v>
      </c>
      <c r="D83" s="29" t="s">
        <v>52</v>
      </c>
      <c r="E83" s="29" t="s">
        <v>25</v>
      </c>
      <c r="F83" s="29" t="s">
        <v>46</v>
      </c>
      <c r="G83" s="29" t="s">
        <v>26</v>
      </c>
      <c r="H83" s="29" t="s">
        <v>33</v>
      </c>
      <c r="I83" s="29" t="s">
        <v>19</v>
      </c>
      <c r="J83" s="30">
        <v>21</v>
      </c>
      <c r="K83" s="29">
        <v>37</v>
      </c>
      <c r="L83" s="29">
        <v>777</v>
      </c>
      <c r="M83" s="29">
        <v>411</v>
      </c>
      <c r="N83" s="33">
        <v>366</v>
      </c>
      <c r="O83" s="29">
        <f t="shared" si="1"/>
        <v>2024</v>
      </c>
      <c r="P83" s="29"/>
      <c r="Q83" s="29"/>
      <c r="R83" s="29"/>
      <c r="S83" s="29"/>
      <c r="T83" s="29"/>
      <c r="U83" s="29"/>
      <c r="V83" s="32"/>
    </row>
    <row r="84" spans="1:22" x14ac:dyDescent="0.35">
      <c r="A84" s="23">
        <v>45387</v>
      </c>
      <c r="B84" s="23" t="s">
        <v>40</v>
      </c>
      <c r="C84" s="24" t="s">
        <v>17</v>
      </c>
      <c r="D84" s="24" t="s">
        <v>55</v>
      </c>
      <c r="E84" s="24" t="s">
        <v>29</v>
      </c>
      <c r="F84" s="24" t="s">
        <v>43</v>
      </c>
      <c r="G84" s="24" t="s">
        <v>11</v>
      </c>
      <c r="H84" s="24" t="s">
        <v>35</v>
      </c>
      <c r="I84" s="24" t="s">
        <v>24</v>
      </c>
      <c r="J84" s="25">
        <v>61</v>
      </c>
      <c r="K84" s="24">
        <v>98</v>
      </c>
      <c r="L84" s="24">
        <v>5978</v>
      </c>
      <c r="M84" s="24">
        <v>5264</v>
      </c>
      <c r="N84" s="24">
        <v>714</v>
      </c>
      <c r="O84" s="24">
        <f t="shared" si="1"/>
        <v>2024</v>
      </c>
      <c r="P84" s="24"/>
      <c r="Q84" s="24"/>
      <c r="R84" s="24"/>
      <c r="S84" s="24"/>
      <c r="T84" s="24"/>
      <c r="U84" s="24"/>
      <c r="V84" s="27"/>
    </row>
    <row r="85" spans="1:22" x14ac:dyDescent="0.35">
      <c r="A85" s="28">
        <v>45388</v>
      </c>
      <c r="B85" s="28" t="s">
        <v>39</v>
      </c>
      <c r="C85" s="29" t="s">
        <v>13</v>
      </c>
      <c r="D85" s="29" t="s">
        <v>53</v>
      </c>
      <c r="E85" s="29" t="s">
        <v>27</v>
      </c>
      <c r="F85" s="29" t="s">
        <v>46</v>
      </c>
      <c r="G85" s="29" t="s">
        <v>26</v>
      </c>
      <c r="H85" s="29" t="s">
        <v>34</v>
      </c>
      <c r="I85" s="29" t="s">
        <v>22</v>
      </c>
      <c r="J85" s="30">
        <v>155</v>
      </c>
      <c r="K85" s="29">
        <v>63</v>
      </c>
      <c r="L85" s="29">
        <v>9765</v>
      </c>
      <c r="M85" s="29">
        <v>9453</v>
      </c>
      <c r="N85" s="29">
        <v>312</v>
      </c>
      <c r="O85" s="29">
        <f t="shared" si="1"/>
        <v>2024</v>
      </c>
      <c r="P85" s="29"/>
      <c r="Q85" s="29"/>
      <c r="R85" s="29"/>
      <c r="S85" s="29"/>
      <c r="T85" s="29"/>
      <c r="U85" s="29"/>
      <c r="V85" s="32"/>
    </row>
    <row r="86" spans="1:22" x14ac:dyDescent="0.35">
      <c r="A86" s="23">
        <v>45389</v>
      </c>
      <c r="B86" s="23" t="s">
        <v>38</v>
      </c>
      <c r="C86" s="24" t="s">
        <v>9</v>
      </c>
      <c r="D86" s="24" t="s">
        <v>50</v>
      </c>
      <c r="E86" s="24" t="s">
        <v>18</v>
      </c>
      <c r="F86" s="24" t="s">
        <v>44</v>
      </c>
      <c r="G86" s="24" t="s">
        <v>15</v>
      </c>
      <c r="H86" s="24" t="s">
        <v>35</v>
      </c>
      <c r="I86" s="24" t="s">
        <v>24</v>
      </c>
      <c r="J86" s="25">
        <v>141</v>
      </c>
      <c r="K86" s="24">
        <v>76</v>
      </c>
      <c r="L86" s="24">
        <v>10716</v>
      </c>
      <c r="M86" s="24">
        <v>10370</v>
      </c>
      <c r="N86" s="24">
        <v>346</v>
      </c>
      <c r="O86" s="24">
        <f t="shared" si="1"/>
        <v>2024</v>
      </c>
      <c r="P86" s="24"/>
      <c r="Q86" s="24"/>
      <c r="R86" s="24"/>
      <c r="S86" s="24"/>
      <c r="T86" s="24"/>
      <c r="U86" s="24"/>
      <c r="V86" s="27"/>
    </row>
    <row r="87" spans="1:22" x14ac:dyDescent="0.35">
      <c r="A87" s="28">
        <v>45390</v>
      </c>
      <c r="B87" s="28" t="s">
        <v>41</v>
      </c>
      <c r="C87" s="29" t="s">
        <v>23</v>
      </c>
      <c r="D87" s="29" t="s">
        <v>55</v>
      </c>
      <c r="E87" s="29" t="s">
        <v>29</v>
      </c>
      <c r="F87" s="29" t="s">
        <v>43</v>
      </c>
      <c r="G87" s="29" t="s">
        <v>11</v>
      </c>
      <c r="H87" s="29" t="s">
        <v>31</v>
      </c>
      <c r="I87" s="29" t="s">
        <v>12</v>
      </c>
      <c r="J87" s="30">
        <v>190</v>
      </c>
      <c r="K87" s="29">
        <v>39</v>
      </c>
      <c r="L87" s="29">
        <v>7410</v>
      </c>
      <c r="M87" s="29">
        <v>6762</v>
      </c>
      <c r="N87" s="29">
        <v>648</v>
      </c>
      <c r="O87" s="29">
        <f t="shared" si="1"/>
        <v>2024</v>
      </c>
      <c r="P87" s="29"/>
      <c r="Q87" s="29"/>
      <c r="R87" s="29"/>
      <c r="S87" s="29"/>
      <c r="T87" s="29"/>
      <c r="U87" s="29"/>
      <c r="V87" s="32"/>
    </row>
    <row r="88" spans="1:22" x14ac:dyDescent="0.35">
      <c r="A88" s="23">
        <v>45391</v>
      </c>
      <c r="B88" s="23" t="s">
        <v>39</v>
      </c>
      <c r="C88" s="24" t="s">
        <v>13</v>
      </c>
      <c r="D88" s="24" t="s">
        <v>55</v>
      </c>
      <c r="E88" s="24" t="s">
        <v>29</v>
      </c>
      <c r="F88" s="24" t="s">
        <v>43</v>
      </c>
      <c r="G88" s="24" t="s">
        <v>11</v>
      </c>
      <c r="H88" s="24" t="s">
        <v>34</v>
      </c>
      <c r="I88" s="24" t="s">
        <v>22</v>
      </c>
      <c r="J88" s="25">
        <v>40</v>
      </c>
      <c r="K88" s="24">
        <v>59</v>
      </c>
      <c r="L88" s="24">
        <v>2360</v>
      </c>
      <c r="M88" s="24">
        <v>1547</v>
      </c>
      <c r="N88" s="24">
        <v>813</v>
      </c>
      <c r="O88" s="24">
        <f t="shared" si="1"/>
        <v>2024</v>
      </c>
      <c r="P88" s="24"/>
      <c r="Q88" s="24"/>
      <c r="R88" s="24"/>
      <c r="S88" s="24"/>
      <c r="T88" s="24"/>
      <c r="U88" s="24"/>
      <c r="V88" s="27"/>
    </row>
    <row r="89" spans="1:22" x14ac:dyDescent="0.35">
      <c r="A89" s="28">
        <v>45392</v>
      </c>
      <c r="B89" s="28" t="s">
        <v>40</v>
      </c>
      <c r="C89" s="29" t="s">
        <v>17</v>
      </c>
      <c r="D89" s="29" t="s">
        <v>51</v>
      </c>
      <c r="E89" s="29" t="s">
        <v>20</v>
      </c>
      <c r="F89" s="29" t="s">
        <v>45</v>
      </c>
      <c r="G89" s="29" t="s">
        <v>21</v>
      </c>
      <c r="H89" s="29" t="s">
        <v>32</v>
      </c>
      <c r="I89" s="29" t="s">
        <v>16</v>
      </c>
      <c r="J89" s="30">
        <v>110</v>
      </c>
      <c r="K89" s="29">
        <v>84</v>
      </c>
      <c r="L89" s="29">
        <v>9240</v>
      </c>
      <c r="M89" s="29">
        <v>8506</v>
      </c>
      <c r="N89" s="29">
        <v>734</v>
      </c>
      <c r="O89" s="29">
        <f t="shared" si="1"/>
        <v>2024</v>
      </c>
      <c r="P89" s="29"/>
      <c r="Q89" s="29"/>
      <c r="R89" s="29"/>
      <c r="S89" s="29"/>
      <c r="T89" s="29"/>
      <c r="U89" s="29"/>
      <c r="V89" s="32"/>
    </row>
    <row r="90" spans="1:22" x14ac:dyDescent="0.35">
      <c r="A90" s="23">
        <v>45393</v>
      </c>
      <c r="B90" s="23" t="s">
        <v>38</v>
      </c>
      <c r="C90" s="24" t="s">
        <v>9</v>
      </c>
      <c r="D90" s="24" t="s">
        <v>53</v>
      </c>
      <c r="E90" s="24" t="s">
        <v>27</v>
      </c>
      <c r="F90" s="24" t="s">
        <v>46</v>
      </c>
      <c r="G90" s="24" t="s">
        <v>26</v>
      </c>
      <c r="H90" s="24" t="s">
        <v>32</v>
      </c>
      <c r="I90" s="24" t="s">
        <v>16</v>
      </c>
      <c r="J90" s="25">
        <v>35</v>
      </c>
      <c r="K90" s="24">
        <v>50</v>
      </c>
      <c r="L90" s="24">
        <v>1750</v>
      </c>
      <c r="M90" s="24">
        <v>762</v>
      </c>
      <c r="N90" s="24">
        <v>988</v>
      </c>
      <c r="O90" s="24">
        <f t="shared" si="1"/>
        <v>2024</v>
      </c>
      <c r="P90" s="24"/>
      <c r="Q90" s="24"/>
      <c r="R90" s="24"/>
      <c r="S90" s="24"/>
      <c r="T90" s="24"/>
      <c r="U90" s="24"/>
      <c r="V90" s="27"/>
    </row>
    <row r="91" spans="1:22" x14ac:dyDescent="0.35">
      <c r="A91" s="28">
        <v>45394</v>
      </c>
      <c r="B91" s="28" t="s">
        <v>40</v>
      </c>
      <c r="C91" s="29" t="s">
        <v>17</v>
      </c>
      <c r="D91" s="29" t="s">
        <v>51</v>
      </c>
      <c r="E91" s="29" t="s">
        <v>20</v>
      </c>
      <c r="F91" s="29" t="s">
        <v>45</v>
      </c>
      <c r="G91" s="29" t="s">
        <v>21</v>
      </c>
      <c r="H91" s="29" t="s">
        <v>33</v>
      </c>
      <c r="I91" s="29" t="s">
        <v>19</v>
      </c>
      <c r="J91" s="30">
        <v>183</v>
      </c>
      <c r="K91" s="29">
        <v>38</v>
      </c>
      <c r="L91" s="29">
        <v>6954</v>
      </c>
      <c r="M91" s="29">
        <v>6764</v>
      </c>
      <c r="N91" s="29">
        <v>190</v>
      </c>
      <c r="O91" s="29">
        <f t="shared" si="1"/>
        <v>2024</v>
      </c>
      <c r="P91" s="29"/>
      <c r="Q91" s="29"/>
      <c r="R91" s="29"/>
      <c r="S91" s="29"/>
      <c r="T91" s="29"/>
      <c r="U91" s="29"/>
      <c r="V91" s="32"/>
    </row>
    <row r="92" spans="1:22" x14ac:dyDescent="0.35">
      <c r="A92" s="23">
        <v>45395</v>
      </c>
      <c r="B92" s="23" t="s">
        <v>38</v>
      </c>
      <c r="C92" s="24" t="s">
        <v>9</v>
      </c>
      <c r="D92" s="24" t="s">
        <v>54</v>
      </c>
      <c r="E92" s="24" t="s">
        <v>28</v>
      </c>
      <c r="F92" s="24" t="s">
        <v>45</v>
      </c>
      <c r="G92" s="24" t="s">
        <v>21</v>
      </c>
      <c r="H92" s="24" t="s">
        <v>31</v>
      </c>
      <c r="I92" s="24" t="s">
        <v>12</v>
      </c>
      <c r="J92" s="25">
        <v>119</v>
      </c>
      <c r="K92" s="24">
        <v>51</v>
      </c>
      <c r="L92" s="24">
        <v>6069</v>
      </c>
      <c r="M92" s="24">
        <v>5409</v>
      </c>
      <c r="N92" s="24">
        <v>660</v>
      </c>
      <c r="O92" s="24">
        <f t="shared" si="1"/>
        <v>2024</v>
      </c>
      <c r="P92" s="24"/>
      <c r="Q92" s="24"/>
      <c r="R92" s="24"/>
      <c r="S92" s="24"/>
      <c r="T92" s="24"/>
      <c r="U92" s="24"/>
      <c r="V92" s="27"/>
    </row>
    <row r="93" spans="1:22" x14ac:dyDescent="0.35">
      <c r="A93" s="28">
        <v>45396</v>
      </c>
      <c r="B93" s="28" t="s">
        <v>40</v>
      </c>
      <c r="C93" s="29" t="s">
        <v>17</v>
      </c>
      <c r="D93" s="29" t="s">
        <v>54</v>
      </c>
      <c r="E93" s="29" t="s">
        <v>28</v>
      </c>
      <c r="F93" s="29" t="s">
        <v>45</v>
      </c>
      <c r="G93" s="29" t="s">
        <v>21</v>
      </c>
      <c r="H93" s="29" t="s">
        <v>34</v>
      </c>
      <c r="I93" s="29" t="s">
        <v>22</v>
      </c>
      <c r="J93" s="30">
        <v>73</v>
      </c>
      <c r="K93" s="29">
        <v>79</v>
      </c>
      <c r="L93" s="29">
        <v>5767</v>
      </c>
      <c r="M93" s="29">
        <v>5260</v>
      </c>
      <c r="N93" s="29">
        <v>507</v>
      </c>
      <c r="O93" s="29">
        <f t="shared" si="1"/>
        <v>2024</v>
      </c>
      <c r="P93" s="29"/>
      <c r="Q93" s="29"/>
      <c r="R93" s="29"/>
      <c r="S93" s="29"/>
      <c r="T93" s="29"/>
      <c r="U93" s="29"/>
      <c r="V93" s="32"/>
    </row>
    <row r="94" spans="1:22" x14ac:dyDescent="0.35">
      <c r="A94" s="23">
        <v>45397</v>
      </c>
      <c r="B94" s="23" t="s">
        <v>39</v>
      </c>
      <c r="C94" s="24" t="s">
        <v>13</v>
      </c>
      <c r="D94" s="24" t="s">
        <v>48</v>
      </c>
      <c r="E94" s="24" t="s">
        <v>10</v>
      </c>
      <c r="F94" s="24" t="s">
        <v>43</v>
      </c>
      <c r="G94" s="24" t="s">
        <v>11</v>
      </c>
      <c r="H94" s="24" t="s">
        <v>32</v>
      </c>
      <c r="I94" s="24" t="s">
        <v>16</v>
      </c>
      <c r="J94" s="25">
        <v>29</v>
      </c>
      <c r="K94" s="24">
        <v>75</v>
      </c>
      <c r="L94" s="24">
        <v>2175</v>
      </c>
      <c r="M94" s="24">
        <v>1669</v>
      </c>
      <c r="N94" s="24">
        <v>506</v>
      </c>
      <c r="O94" s="24">
        <f t="shared" si="1"/>
        <v>2024</v>
      </c>
      <c r="P94" s="24"/>
      <c r="Q94" s="24"/>
      <c r="R94" s="24"/>
      <c r="S94" s="24"/>
      <c r="T94" s="24"/>
      <c r="U94" s="24"/>
      <c r="V94" s="27"/>
    </row>
    <row r="95" spans="1:22" x14ac:dyDescent="0.35">
      <c r="A95" s="28">
        <v>45398</v>
      </c>
      <c r="B95" s="28" t="s">
        <v>40</v>
      </c>
      <c r="C95" s="29" t="s">
        <v>17</v>
      </c>
      <c r="D95" s="29" t="s">
        <v>54</v>
      </c>
      <c r="E95" s="29" t="s">
        <v>28</v>
      </c>
      <c r="F95" s="29" t="s">
        <v>45</v>
      </c>
      <c r="G95" s="29" t="s">
        <v>21</v>
      </c>
      <c r="H95" s="29" t="s">
        <v>31</v>
      </c>
      <c r="I95" s="29" t="s">
        <v>12</v>
      </c>
      <c r="J95" s="30">
        <v>116</v>
      </c>
      <c r="K95" s="29">
        <v>93</v>
      </c>
      <c r="L95" s="29">
        <v>10788</v>
      </c>
      <c r="M95" s="29">
        <v>10078</v>
      </c>
      <c r="N95" s="29">
        <v>710</v>
      </c>
      <c r="O95" s="29">
        <f t="shared" si="1"/>
        <v>2024</v>
      </c>
      <c r="P95" s="29"/>
      <c r="Q95" s="29"/>
      <c r="R95" s="29"/>
      <c r="S95" s="29"/>
      <c r="T95" s="29"/>
      <c r="U95" s="29"/>
      <c r="V95" s="32"/>
    </row>
    <row r="96" spans="1:22" x14ac:dyDescent="0.35">
      <c r="A96" s="23">
        <v>45399</v>
      </c>
      <c r="B96" s="23" t="s">
        <v>40</v>
      </c>
      <c r="C96" s="24" t="s">
        <v>17</v>
      </c>
      <c r="D96" s="24" t="s">
        <v>50</v>
      </c>
      <c r="E96" s="24" t="s">
        <v>18</v>
      </c>
      <c r="F96" s="24" t="s">
        <v>44</v>
      </c>
      <c r="G96" s="24" t="s">
        <v>15</v>
      </c>
      <c r="H96" s="24" t="s">
        <v>35</v>
      </c>
      <c r="I96" s="24" t="s">
        <v>24</v>
      </c>
      <c r="J96" s="25">
        <v>144</v>
      </c>
      <c r="K96" s="24">
        <v>62</v>
      </c>
      <c r="L96" s="24">
        <v>8928</v>
      </c>
      <c r="M96" s="24">
        <v>8522</v>
      </c>
      <c r="N96" s="24">
        <v>406</v>
      </c>
      <c r="O96" s="24">
        <f t="shared" si="1"/>
        <v>2024</v>
      </c>
      <c r="P96" s="24"/>
      <c r="Q96" s="24"/>
      <c r="R96" s="24"/>
      <c r="S96" s="24"/>
      <c r="T96" s="24"/>
      <c r="U96" s="24"/>
      <c r="V96" s="27"/>
    </row>
    <row r="97" spans="1:22" x14ac:dyDescent="0.35">
      <c r="A97" s="28">
        <v>45400</v>
      </c>
      <c r="B97" s="28" t="s">
        <v>41</v>
      </c>
      <c r="C97" s="29" t="s">
        <v>23</v>
      </c>
      <c r="D97" s="29" t="s">
        <v>50</v>
      </c>
      <c r="E97" s="29" t="s">
        <v>18</v>
      </c>
      <c r="F97" s="29" t="s">
        <v>44</v>
      </c>
      <c r="G97" s="29" t="s">
        <v>15</v>
      </c>
      <c r="H97" s="29" t="s">
        <v>31</v>
      </c>
      <c r="I97" s="29" t="s">
        <v>12</v>
      </c>
      <c r="J97" s="30">
        <v>179</v>
      </c>
      <c r="K97" s="29">
        <v>38</v>
      </c>
      <c r="L97" s="29">
        <v>6802</v>
      </c>
      <c r="M97" s="29">
        <v>6385</v>
      </c>
      <c r="N97" s="29">
        <v>417</v>
      </c>
      <c r="O97" s="29">
        <f t="shared" si="1"/>
        <v>2024</v>
      </c>
      <c r="P97" s="29"/>
      <c r="Q97" s="29"/>
      <c r="R97" s="29"/>
      <c r="S97" s="29"/>
      <c r="T97" s="29"/>
      <c r="U97" s="29"/>
      <c r="V97" s="32"/>
    </row>
    <row r="98" spans="1:22" x14ac:dyDescent="0.35">
      <c r="A98" s="23">
        <v>45401</v>
      </c>
      <c r="B98" s="23" t="s">
        <v>41</v>
      </c>
      <c r="C98" s="24" t="s">
        <v>23</v>
      </c>
      <c r="D98" s="24" t="s">
        <v>48</v>
      </c>
      <c r="E98" s="24" t="s">
        <v>10</v>
      </c>
      <c r="F98" s="24" t="s">
        <v>43</v>
      </c>
      <c r="G98" s="24" t="s">
        <v>11</v>
      </c>
      <c r="H98" s="24" t="s">
        <v>34</v>
      </c>
      <c r="I98" s="24" t="s">
        <v>22</v>
      </c>
      <c r="J98" s="25">
        <v>38</v>
      </c>
      <c r="K98" s="24">
        <v>65</v>
      </c>
      <c r="L98" s="24">
        <v>2470</v>
      </c>
      <c r="M98" s="24">
        <v>2346</v>
      </c>
      <c r="N98" s="24">
        <v>124</v>
      </c>
      <c r="O98" s="24">
        <f t="shared" si="1"/>
        <v>2024</v>
      </c>
      <c r="P98" s="24"/>
      <c r="Q98" s="24"/>
      <c r="R98" s="24"/>
      <c r="S98" s="24"/>
      <c r="T98" s="24"/>
      <c r="U98" s="24"/>
      <c r="V98" s="27"/>
    </row>
    <row r="99" spans="1:22" x14ac:dyDescent="0.35">
      <c r="A99" s="28">
        <v>45402</v>
      </c>
      <c r="B99" s="28" t="s">
        <v>38</v>
      </c>
      <c r="C99" s="29" t="s">
        <v>9</v>
      </c>
      <c r="D99" s="29" t="s">
        <v>49</v>
      </c>
      <c r="E99" s="29" t="s">
        <v>14</v>
      </c>
      <c r="F99" s="29" t="s">
        <v>44</v>
      </c>
      <c r="G99" s="29" t="s">
        <v>15</v>
      </c>
      <c r="H99" s="29" t="s">
        <v>34</v>
      </c>
      <c r="I99" s="29" t="s">
        <v>22</v>
      </c>
      <c r="J99" s="30">
        <v>80</v>
      </c>
      <c r="K99" s="29">
        <v>72</v>
      </c>
      <c r="L99" s="29">
        <v>5760</v>
      </c>
      <c r="M99" s="29">
        <v>5024</v>
      </c>
      <c r="N99" s="29">
        <v>736</v>
      </c>
      <c r="O99" s="29">
        <f t="shared" si="1"/>
        <v>2024</v>
      </c>
      <c r="P99" s="29"/>
      <c r="Q99" s="29"/>
      <c r="R99" s="29"/>
      <c r="S99" s="29"/>
      <c r="T99" s="29"/>
      <c r="U99" s="29"/>
      <c r="V99" s="32"/>
    </row>
    <row r="100" spans="1:22" x14ac:dyDescent="0.35">
      <c r="A100" s="23">
        <v>45403</v>
      </c>
      <c r="B100" s="23" t="s">
        <v>39</v>
      </c>
      <c r="C100" s="24" t="s">
        <v>13</v>
      </c>
      <c r="D100" s="24" t="s">
        <v>54</v>
      </c>
      <c r="E100" s="24" t="s">
        <v>28</v>
      </c>
      <c r="F100" s="24" t="s">
        <v>45</v>
      </c>
      <c r="G100" s="24" t="s">
        <v>21</v>
      </c>
      <c r="H100" s="24" t="s">
        <v>34</v>
      </c>
      <c r="I100" s="24" t="s">
        <v>22</v>
      </c>
      <c r="J100" s="25">
        <v>57</v>
      </c>
      <c r="K100" s="24">
        <v>72</v>
      </c>
      <c r="L100" s="24">
        <v>4104</v>
      </c>
      <c r="M100" s="24">
        <v>3980</v>
      </c>
      <c r="N100" s="24">
        <v>124</v>
      </c>
      <c r="O100" s="24">
        <f t="shared" si="1"/>
        <v>2024</v>
      </c>
      <c r="P100" s="24"/>
      <c r="Q100" s="24"/>
      <c r="R100" s="24"/>
      <c r="S100" s="24"/>
      <c r="T100" s="24"/>
      <c r="U100" s="24"/>
      <c r="V100" s="27"/>
    </row>
    <row r="101" spans="1:22" x14ac:dyDescent="0.35">
      <c r="A101" s="28">
        <v>45404</v>
      </c>
      <c r="B101" s="28" t="s">
        <v>40</v>
      </c>
      <c r="C101" s="29" t="s">
        <v>17</v>
      </c>
      <c r="D101" s="29" t="s">
        <v>49</v>
      </c>
      <c r="E101" s="29" t="s">
        <v>14</v>
      </c>
      <c r="F101" s="29" t="s">
        <v>44</v>
      </c>
      <c r="G101" s="29" t="s">
        <v>15</v>
      </c>
      <c r="H101" s="29" t="s">
        <v>33</v>
      </c>
      <c r="I101" s="29" t="s">
        <v>19</v>
      </c>
      <c r="J101" s="30">
        <v>34</v>
      </c>
      <c r="K101" s="29">
        <v>94</v>
      </c>
      <c r="L101" s="29">
        <v>3196</v>
      </c>
      <c r="M101" s="29">
        <v>2761</v>
      </c>
      <c r="N101" s="29">
        <v>435</v>
      </c>
      <c r="O101" s="29">
        <f t="shared" si="1"/>
        <v>2024</v>
      </c>
      <c r="P101" s="29"/>
      <c r="Q101" s="29"/>
      <c r="R101" s="29"/>
      <c r="S101" s="29"/>
      <c r="T101" s="29"/>
      <c r="U101" s="29"/>
      <c r="V101" s="32"/>
    </row>
    <row r="102" spans="1:22" x14ac:dyDescent="0.35">
      <c r="A102" s="23">
        <v>45405</v>
      </c>
      <c r="B102" s="23" t="s">
        <v>39</v>
      </c>
      <c r="C102" s="24" t="s">
        <v>13</v>
      </c>
      <c r="D102" s="24" t="s">
        <v>49</v>
      </c>
      <c r="E102" s="24" t="s">
        <v>14</v>
      </c>
      <c r="F102" s="24" t="s">
        <v>44</v>
      </c>
      <c r="G102" s="24" t="s">
        <v>15</v>
      </c>
      <c r="H102" s="24" t="s">
        <v>32</v>
      </c>
      <c r="I102" s="24" t="s">
        <v>16</v>
      </c>
      <c r="J102" s="25">
        <v>138</v>
      </c>
      <c r="K102" s="24">
        <v>40</v>
      </c>
      <c r="L102" s="24">
        <v>5520</v>
      </c>
      <c r="M102" s="24">
        <v>5324</v>
      </c>
      <c r="N102" s="24">
        <v>196</v>
      </c>
      <c r="O102" s="24">
        <f t="shared" si="1"/>
        <v>2024</v>
      </c>
      <c r="P102" s="24"/>
      <c r="Q102" s="24"/>
      <c r="R102" s="24"/>
      <c r="S102" s="24"/>
      <c r="T102" s="24"/>
      <c r="U102" s="24"/>
      <c r="V102" s="27"/>
    </row>
    <row r="103" spans="1:22" x14ac:dyDescent="0.35">
      <c r="A103" s="28">
        <v>45406</v>
      </c>
      <c r="B103" s="28" t="s">
        <v>39</v>
      </c>
      <c r="C103" s="29" t="s">
        <v>13</v>
      </c>
      <c r="D103" s="29" t="s">
        <v>53</v>
      </c>
      <c r="E103" s="29" t="s">
        <v>27</v>
      </c>
      <c r="F103" s="29" t="s">
        <v>46</v>
      </c>
      <c r="G103" s="29" t="s">
        <v>26</v>
      </c>
      <c r="H103" s="29" t="s">
        <v>34</v>
      </c>
      <c r="I103" s="29" t="s">
        <v>22</v>
      </c>
      <c r="J103" s="30">
        <v>195</v>
      </c>
      <c r="K103" s="29">
        <v>78</v>
      </c>
      <c r="L103" s="29">
        <v>15210</v>
      </c>
      <c r="M103" s="29">
        <v>14923</v>
      </c>
      <c r="N103" s="29">
        <v>287</v>
      </c>
      <c r="O103" s="29">
        <f t="shared" si="1"/>
        <v>2024</v>
      </c>
      <c r="P103" s="29"/>
      <c r="Q103" s="29"/>
      <c r="R103" s="29"/>
      <c r="S103" s="29"/>
      <c r="T103" s="29"/>
      <c r="U103" s="29"/>
      <c r="V103" s="32"/>
    </row>
    <row r="104" spans="1:22" x14ac:dyDescent="0.35">
      <c r="A104" s="23">
        <v>45407</v>
      </c>
      <c r="B104" s="23" t="s">
        <v>41</v>
      </c>
      <c r="C104" s="24" t="s">
        <v>23</v>
      </c>
      <c r="D104" s="24" t="s">
        <v>51</v>
      </c>
      <c r="E104" s="24" t="s">
        <v>20</v>
      </c>
      <c r="F104" s="24" t="s">
        <v>45</v>
      </c>
      <c r="G104" s="24" t="s">
        <v>21</v>
      </c>
      <c r="H104" s="24" t="s">
        <v>34</v>
      </c>
      <c r="I104" s="24" t="s">
        <v>22</v>
      </c>
      <c r="J104" s="25">
        <v>70</v>
      </c>
      <c r="K104" s="24">
        <v>59</v>
      </c>
      <c r="L104" s="24">
        <v>4130</v>
      </c>
      <c r="M104" s="24">
        <v>3508</v>
      </c>
      <c r="N104" s="24">
        <v>622</v>
      </c>
      <c r="O104" s="24">
        <f t="shared" si="1"/>
        <v>2024</v>
      </c>
      <c r="P104" s="24"/>
      <c r="Q104" s="24"/>
      <c r="R104" s="24"/>
      <c r="S104" s="24"/>
      <c r="T104" s="24"/>
      <c r="U104" s="24"/>
      <c r="V104" s="27"/>
    </row>
    <row r="105" spans="1:22" x14ac:dyDescent="0.35">
      <c r="A105" s="28">
        <v>45408</v>
      </c>
      <c r="B105" s="28" t="s">
        <v>40</v>
      </c>
      <c r="C105" s="29" t="s">
        <v>17</v>
      </c>
      <c r="D105" s="29" t="s">
        <v>55</v>
      </c>
      <c r="E105" s="29" t="s">
        <v>29</v>
      </c>
      <c r="F105" s="29" t="s">
        <v>43</v>
      </c>
      <c r="G105" s="29" t="s">
        <v>11</v>
      </c>
      <c r="H105" s="29" t="s">
        <v>32</v>
      </c>
      <c r="I105" s="29" t="s">
        <v>16</v>
      </c>
      <c r="J105" s="30">
        <v>130</v>
      </c>
      <c r="K105" s="29">
        <v>44</v>
      </c>
      <c r="L105" s="29">
        <v>5720</v>
      </c>
      <c r="M105" s="29">
        <v>5438</v>
      </c>
      <c r="N105" s="29">
        <v>282</v>
      </c>
      <c r="O105" s="29">
        <f t="shared" si="1"/>
        <v>2024</v>
      </c>
      <c r="P105" s="29"/>
      <c r="Q105" s="29"/>
      <c r="R105" s="29"/>
      <c r="S105" s="29"/>
      <c r="T105" s="29"/>
      <c r="U105" s="29"/>
      <c r="V105" s="32"/>
    </row>
    <row r="106" spans="1:22" x14ac:dyDescent="0.35">
      <c r="A106" s="23">
        <v>45409</v>
      </c>
      <c r="B106" s="23" t="s">
        <v>41</v>
      </c>
      <c r="C106" s="24" t="s">
        <v>23</v>
      </c>
      <c r="D106" s="24" t="s">
        <v>54</v>
      </c>
      <c r="E106" s="24" t="s">
        <v>28</v>
      </c>
      <c r="F106" s="24" t="s">
        <v>45</v>
      </c>
      <c r="G106" s="24" t="s">
        <v>21</v>
      </c>
      <c r="H106" s="24" t="s">
        <v>35</v>
      </c>
      <c r="I106" s="24" t="s">
        <v>24</v>
      </c>
      <c r="J106" s="25">
        <v>72</v>
      </c>
      <c r="K106" s="24">
        <v>90</v>
      </c>
      <c r="L106" s="24">
        <v>6480</v>
      </c>
      <c r="M106" s="24">
        <v>6058</v>
      </c>
      <c r="N106" s="24">
        <v>422</v>
      </c>
      <c r="O106" s="24">
        <f t="shared" si="1"/>
        <v>2024</v>
      </c>
      <c r="P106" s="24"/>
      <c r="Q106" s="24"/>
      <c r="R106" s="24"/>
      <c r="S106" s="24"/>
      <c r="T106" s="24"/>
      <c r="U106" s="24"/>
      <c r="V106" s="27"/>
    </row>
    <row r="107" spans="1:22" x14ac:dyDescent="0.35">
      <c r="A107" s="28">
        <v>45410</v>
      </c>
      <c r="B107" s="28" t="s">
        <v>38</v>
      </c>
      <c r="C107" s="29" t="s">
        <v>9</v>
      </c>
      <c r="D107" s="29" t="s">
        <v>51</v>
      </c>
      <c r="E107" s="29" t="s">
        <v>20</v>
      </c>
      <c r="F107" s="29" t="s">
        <v>45</v>
      </c>
      <c r="G107" s="29" t="s">
        <v>21</v>
      </c>
      <c r="H107" s="29" t="s">
        <v>33</v>
      </c>
      <c r="I107" s="29" t="s">
        <v>19</v>
      </c>
      <c r="J107" s="30">
        <v>52</v>
      </c>
      <c r="K107" s="29">
        <v>87</v>
      </c>
      <c r="L107" s="29">
        <v>4524</v>
      </c>
      <c r="M107" s="29">
        <v>4321</v>
      </c>
      <c r="N107" s="29">
        <v>203</v>
      </c>
      <c r="O107" s="29">
        <f t="shared" si="1"/>
        <v>2024</v>
      </c>
      <c r="P107" s="29"/>
      <c r="Q107" s="29"/>
      <c r="R107" s="29"/>
      <c r="S107" s="29"/>
      <c r="T107" s="29"/>
      <c r="U107" s="29"/>
      <c r="V107" s="32"/>
    </row>
    <row r="108" spans="1:22" x14ac:dyDescent="0.35">
      <c r="A108" s="23">
        <v>45411</v>
      </c>
      <c r="B108" s="23" t="s">
        <v>41</v>
      </c>
      <c r="C108" s="24" t="s">
        <v>23</v>
      </c>
      <c r="D108" s="24" t="s">
        <v>55</v>
      </c>
      <c r="E108" s="24" t="s">
        <v>29</v>
      </c>
      <c r="F108" s="24" t="s">
        <v>43</v>
      </c>
      <c r="G108" s="24" t="s">
        <v>11</v>
      </c>
      <c r="H108" s="24" t="s">
        <v>32</v>
      </c>
      <c r="I108" s="24" t="s">
        <v>16</v>
      </c>
      <c r="J108" s="25">
        <v>118</v>
      </c>
      <c r="K108" s="24">
        <v>53</v>
      </c>
      <c r="L108" s="24">
        <v>6254</v>
      </c>
      <c r="M108" s="24">
        <v>6063</v>
      </c>
      <c r="N108" s="24">
        <v>191</v>
      </c>
      <c r="O108" s="24">
        <f t="shared" si="1"/>
        <v>2024</v>
      </c>
      <c r="P108" s="24"/>
      <c r="Q108" s="24"/>
      <c r="R108" s="24"/>
      <c r="S108" s="24"/>
      <c r="T108" s="24"/>
      <c r="U108" s="24"/>
      <c r="V108" s="27"/>
    </row>
    <row r="109" spans="1:22" x14ac:dyDescent="0.35">
      <c r="A109" s="28">
        <v>45412</v>
      </c>
      <c r="B109" s="28" t="s">
        <v>41</v>
      </c>
      <c r="C109" s="29" t="s">
        <v>23</v>
      </c>
      <c r="D109" s="29" t="s">
        <v>52</v>
      </c>
      <c r="E109" s="29" t="s">
        <v>25</v>
      </c>
      <c r="F109" s="29" t="s">
        <v>46</v>
      </c>
      <c r="G109" s="29" t="s">
        <v>26</v>
      </c>
      <c r="H109" s="29" t="s">
        <v>32</v>
      </c>
      <c r="I109" s="29" t="s">
        <v>16</v>
      </c>
      <c r="J109" s="30">
        <v>151</v>
      </c>
      <c r="K109" s="29">
        <v>94</v>
      </c>
      <c r="L109" s="29">
        <v>14194</v>
      </c>
      <c r="M109" s="29">
        <v>14068</v>
      </c>
      <c r="N109" s="29">
        <v>126</v>
      </c>
      <c r="O109" s="29">
        <f t="shared" si="1"/>
        <v>2024</v>
      </c>
      <c r="P109" s="29"/>
      <c r="Q109" s="29"/>
      <c r="R109" s="29"/>
      <c r="S109" s="29"/>
      <c r="T109" s="29"/>
      <c r="U109" s="29"/>
      <c r="V109" s="32"/>
    </row>
    <row r="110" spans="1:22" x14ac:dyDescent="0.35">
      <c r="A110" s="23">
        <v>45413</v>
      </c>
      <c r="B110" s="23" t="s">
        <v>40</v>
      </c>
      <c r="C110" s="24" t="s">
        <v>17</v>
      </c>
      <c r="D110" s="24" t="s">
        <v>55</v>
      </c>
      <c r="E110" s="24" t="s">
        <v>29</v>
      </c>
      <c r="F110" s="24" t="s">
        <v>43</v>
      </c>
      <c r="G110" s="24" t="s">
        <v>11</v>
      </c>
      <c r="H110" s="24" t="s">
        <v>31</v>
      </c>
      <c r="I110" s="24" t="s">
        <v>12</v>
      </c>
      <c r="J110" s="25">
        <v>92</v>
      </c>
      <c r="K110" s="24">
        <v>70</v>
      </c>
      <c r="L110" s="24">
        <v>6440</v>
      </c>
      <c r="M110" s="24">
        <v>5672</v>
      </c>
      <c r="N110" s="24">
        <v>768</v>
      </c>
      <c r="O110" s="24">
        <f t="shared" si="1"/>
        <v>2024</v>
      </c>
      <c r="P110" s="24"/>
      <c r="Q110" s="24"/>
      <c r="R110" s="24"/>
      <c r="S110" s="24"/>
      <c r="T110" s="24"/>
      <c r="U110" s="24"/>
      <c r="V110" s="27"/>
    </row>
    <row r="111" spans="1:22" x14ac:dyDescent="0.35">
      <c r="A111" s="28">
        <v>45414</v>
      </c>
      <c r="B111" s="28" t="s">
        <v>39</v>
      </c>
      <c r="C111" s="29" t="s">
        <v>13</v>
      </c>
      <c r="D111" s="29" t="s">
        <v>51</v>
      </c>
      <c r="E111" s="29" t="s">
        <v>20</v>
      </c>
      <c r="F111" s="29" t="s">
        <v>45</v>
      </c>
      <c r="G111" s="29" t="s">
        <v>21</v>
      </c>
      <c r="H111" s="29" t="s">
        <v>35</v>
      </c>
      <c r="I111" s="29" t="s">
        <v>24</v>
      </c>
      <c r="J111" s="30">
        <v>176</v>
      </c>
      <c r="K111" s="29">
        <v>51</v>
      </c>
      <c r="L111" s="29">
        <v>8976</v>
      </c>
      <c r="M111" s="29">
        <v>8481</v>
      </c>
      <c r="N111" s="29">
        <v>495</v>
      </c>
      <c r="O111" s="29">
        <f t="shared" si="1"/>
        <v>2024</v>
      </c>
      <c r="P111" s="29"/>
      <c r="Q111" s="29"/>
      <c r="R111" s="29"/>
      <c r="S111" s="29"/>
      <c r="T111" s="29"/>
      <c r="U111" s="29"/>
      <c r="V111" s="32"/>
    </row>
    <row r="112" spans="1:22" x14ac:dyDescent="0.35">
      <c r="A112" s="23">
        <v>45415</v>
      </c>
      <c r="B112" s="23" t="s">
        <v>41</v>
      </c>
      <c r="C112" s="24" t="s">
        <v>23</v>
      </c>
      <c r="D112" s="24" t="s">
        <v>50</v>
      </c>
      <c r="E112" s="24" t="s">
        <v>18</v>
      </c>
      <c r="F112" s="24" t="s">
        <v>44</v>
      </c>
      <c r="G112" s="24" t="s">
        <v>15</v>
      </c>
      <c r="H112" s="24" t="s">
        <v>35</v>
      </c>
      <c r="I112" s="24" t="s">
        <v>24</v>
      </c>
      <c r="J112" s="25">
        <v>199</v>
      </c>
      <c r="K112" s="24">
        <v>82</v>
      </c>
      <c r="L112" s="24">
        <v>16318</v>
      </c>
      <c r="M112" s="24">
        <v>16184</v>
      </c>
      <c r="N112" s="24">
        <v>134</v>
      </c>
      <c r="O112" s="24">
        <f t="shared" si="1"/>
        <v>2024</v>
      </c>
      <c r="P112" s="24"/>
      <c r="Q112" s="24"/>
      <c r="R112" s="24"/>
      <c r="S112" s="24"/>
      <c r="T112" s="24"/>
      <c r="U112" s="24"/>
      <c r="V112" s="27"/>
    </row>
    <row r="113" spans="1:22" x14ac:dyDescent="0.35">
      <c r="A113" s="28">
        <v>45416</v>
      </c>
      <c r="B113" s="28" t="s">
        <v>39</v>
      </c>
      <c r="C113" s="29" t="s">
        <v>13</v>
      </c>
      <c r="D113" s="29" t="s">
        <v>54</v>
      </c>
      <c r="E113" s="29" t="s">
        <v>28</v>
      </c>
      <c r="F113" s="29" t="s">
        <v>45</v>
      </c>
      <c r="G113" s="29" t="s">
        <v>21</v>
      </c>
      <c r="H113" s="29" t="s">
        <v>34</v>
      </c>
      <c r="I113" s="29" t="s">
        <v>22</v>
      </c>
      <c r="J113" s="30">
        <v>182</v>
      </c>
      <c r="K113" s="29">
        <v>39</v>
      </c>
      <c r="L113" s="29">
        <v>7098</v>
      </c>
      <c r="M113" s="29">
        <v>6258</v>
      </c>
      <c r="N113" s="29">
        <v>840</v>
      </c>
      <c r="O113" s="29">
        <f t="shared" si="1"/>
        <v>2024</v>
      </c>
      <c r="P113" s="29"/>
      <c r="Q113" s="29"/>
      <c r="R113" s="29"/>
      <c r="S113" s="29"/>
      <c r="T113" s="29"/>
      <c r="U113" s="29"/>
      <c r="V113" s="32"/>
    </row>
    <row r="114" spans="1:22" x14ac:dyDescent="0.35">
      <c r="A114" s="23">
        <v>45417</v>
      </c>
      <c r="B114" s="23" t="s">
        <v>39</v>
      </c>
      <c r="C114" s="24" t="s">
        <v>13</v>
      </c>
      <c r="D114" s="24" t="s">
        <v>49</v>
      </c>
      <c r="E114" s="24" t="s">
        <v>14</v>
      </c>
      <c r="F114" s="24" t="s">
        <v>44</v>
      </c>
      <c r="G114" s="24" t="s">
        <v>15</v>
      </c>
      <c r="H114" s="24" t="s">
        <v>31</v>
      </c>
      <c r="I114" s="24" t="s">
        <v>12</v>
      </c>
      <c r="J114" s="25">
        <v>164</v>
      </c>
      <c r="K114" s="24">
        <v>60</v>
      </c>
      <c r="L114" s="24">
        <v>9840</v>
      </c>
      <c r="M114" s="24">
        <v>9559</v>
      </c>
      <c r="N114" s="24">
        <v>281</v>
      </c>
      <c r="O114" s="24">
        <f t="shared" si="1"/>
        <v>2024</v>
      </c>
      <c r="P114" s="24"/>
      <c r="Q114" s="24"/>
      <c r="R114" s="24"/>
      <c r="S114" s="24"/>
      <c r="T114" s="24"/>
      <c r="U114" s="24"/>
      <c r="V114" s="27"/>
    </row>
    <row r="115" spans="1:22" x14ac:dyDescent="0.35">
      <c r="A115" s="28">
        <v>45418</v>
      </c>
      <c r="B115" s="28" t="s">
        <v>41</v>
      </c>
      <c r="C115" s="29" t="s">
        <v>23</v>
      </c>
      <c r="D115" s="29" t="s">
        <v>53</v>
      </c>
      <c r="E115" s="29" t="s">
        <v>27</v>
      </c>
      <c r="F115" s="29" t="s">
        <v>46</v>
      </c>
      <c r="G115" s="29" t="s">
        <v>26</v>
      </c>
      <c r="H115" s="29" t="s">
        <v>35</v>
      </c>
      <c r="I115" s="29" t="s">
        <v>24</v>
      </c>
      <c r="J115" s="30">
        <v>50</v>
      </c>
      <c r="K115" s="29">
        <v>66</v>
      </c>
      <c r="L115" s="29">
        <v>3300</v>
      </c>
      <c r="M115" s="29">
        <v>2546</v>
      </c>
      <c r="N115" s="29">
        <v>754</v>
      </c>
      <c r="O115" s="29">
        <f t="shared" si="1"/>
        <v>2024</v>
      </c>
      <c r="P115" s="29"/>
      <c r="Q115" s="29"/>
      <c r="R115" s="29"/>
      <c r="S115" s="29"/>
      <c r="T115" s="29"/>
      <c r="U115" s="29"/>
      <c r="V115" s="32"/>
    </row>
    <row r="116" spans="1:22" x14ac:dyDescent="0.35">
      <c r="A116" s="23">
        <v>45419</v>
      </c>
      <c r="B116" s="23" t="s">
        <v>41</v>
      </c>
      <c r="C116" s="24" t="s">
        <v>23</v>
      </c>
      <c r="D116" s="24" t="s">
        <v>53</v>
      </c>
      <c r="E116" s="24" t="s">
        <v>27</v>
      </c>
      <c r="F116" s="24" t="s">
        <v>46</v>
      </c>
      <c r="G116" s="24" t="s">
        <v>26</v>
      </c>
      <c r="H116" s="24" t="s">
        <v>33</v>
      </c>
      <c r="I116" s="24" t="s">
        <v>19</v>
      </c>
      <c r="J116" s="25">
        <v>168</v>
      </c>
      <c r="K116" s="24">
        <v>84</v>
      </c>
      <c r="L116" s="24">
        <v>14112</v>
      </c>
      <c r="M116" s="24">
        <v>13191</v>
      </c>
      <c r="N116" s="24">
        <v>921</v>
      </c>
      <c r="O116" s="24">
        <f t="shared" si="1"/>
        <v>2024</v>
      </c>
      <c r="P116" s="24"/>
      <c r="Q116" s="24"/>
      <c r="R116" s="24"/>
      <c r="S116" s="24"/>
      <c r="T116" s="24"/>
      <c r="U116" s="24"/>
      <c r="V116" s="27"/>
    </row>
    <row r="117" spans="1:22" x14ac:dyDescent="0.35">
      <c r="A117" s="28">
        <v>45420</v>
      </c>
      <c r="B117" s="28" t="s">
        <v>41</v>
      </c>
      <c r="C117" s="29" t="s">
        <v>23</v>
      </c>
      <c r="D117" s="29" t="s">
        <v>48</v>
      </c>
      <c r="E117" s="29" t="s">
        <v>10</v>
      </c>
      <c r="F117" s="29" t="s">
        <v>43</v>
      </c>
      <c r="G117" s="29" t="s">
        <v>11</v>
      </c>
      <c r="H117" s="29" t="s">
        <v>32</v>
      </c>
      <c r="I117" s="29" t="s">
        <v>16</v>
      </c>
      <c r="J117" s="30">
        <v>37</v>
      </c>
      <c r="K117" s="29">
        <v>60</v>
      </c>
      <c r="L117" s="29">
        <v>2220</v>
      </c>
      <c r="M117" s="29">
        <v>1641</v>
      </c>
      <c r="N117" s="29">
        <v>579</v>
      </c>
      <c r="O117" s="29">
        <f t="shared" si="1"/>
        <v>2024</v>
      </c>
      <c r="P117" s="29"/>
      <c r="Q117" s="29"/>
      <c r="R117" s="29"/>
      <c r="S117" s="29"/>
      <c r="T117" s="29"/>
      <c r="U117" s="29"/>
      <c r="V117" s="32"/>
    </row>
    <row r="118" spans="1:22" x14ac:dyDescent="0.35">
      <c r="A118" s="23">
        <v>45421</v>
      </c>
      <c r="B118" s="23" t="s">
        <v>39</v>
      </c>
      <c r="C118" s="24" t="s">
        <v>13</v>
      </c>
      <c r="D118" s="24" t="s">
        <v>53</v>
      </c>
      <c r="E118" s="24" t="s">
        <v>27</v>
      </c>
      <c r="F118" s="24" t="s">
        <v>46</v>
      </c>
      <c r="G118" s="24" t="s">
        <v>26</v>
      </c>
      <c r="H118" s="24" t="s">
        <v>35</v>
      </c>
      <c r="I118" s="24" t="s">
        <v>24</v>
      </c>
      <c r="J118" s="25">
        <v>160</v>
      </c>
      <c r="K118" s="24">
        <v>42</v>
      </c>
      <c r="L118" s="24">
        <v>6720</v>
      </c>
      <c r="M118" s="24">
        <v>5945</v>
      </c>
      <c r="N118" s="24">
        <v>775</v>
      </c>
      <c r="O118" s="24">
        <f t="shared" si="1"/>
        <v>2024</v>
      </c>
      <c r="P118" s="24"/>
      <c r="Q118" s="24"/>
      <c r="R118" s="24"/>
      <c r="S118" s="24"/>
      <c r="T118" s="24"/>
      <c r="U118" s="24"/>
      <c r="V118" s="27"/>
    </row>
    <row r="119" spans="1:22" x14ac:dyDescent="0.35">
      <c r="A119" s="28">
        <v>45422</v>
      </c>
      <c r="B119" s="28" t="s">
        <v>39</v>
      </c>
      <c r="C119" s="29" t="s">
        <v>13</v>
      </c>
      <c r="D119" s="29" t="s">
        <v>51</v>
      </c>
      <c r="E119" s="29" t="s">
        <v>20</v>
      </c>
      <c r="F119" s="29" t="s">
        <v>45</v>
      </c>
      <c r="G119" s="29" t="s">
        <v>21</v>
      </c>
      <c r="H119" s="29" t="s">
        <v>31</v>
      </c>
      <c r="I119" s="29" t="s">
        <v>12</v>
      </c>
      <c r="J119" s="30">
        <v>149</v>
      </c>
      <c r="K119" s="29">
        <v>47</v>
      </c>
      <c r="L119" s="29">
        <v>7003</v>
      </c>
      <c r="M119" s="29">
        <v>6287</v>
      </c>
      <c r="N119" s="29">
        <v>716</v>
      </c>
      <c r="O119" s="29">
        <f t="shared" si="1"/>
        <v>2024</v>
      </c>
      <c r="P119" s="29"/>
      <c r="Q119" s="29"/>
      <c r="R119" s="29"/>
      <c r="S119" s="29"/>
      <c r="T119" s="29"/>
      <c r="U119" s="29"/>
      <c r="V119" s="32"/>
    </row>
    <row r="120" spans="1:22" x14ac:dyDescent="0.35">
      <c r="A120" s="23">
        <v>45423</v>
      </c>
      <c r="B120" s="23" t="s">
        <v>41</v>
      </c>
      <c r="C120" s="24" t="s">
        <v>23</v>
      </c>
      <c r="D120" s="24" t="s">
        <v>49</v>
      </c>
      <c r="E120" s="24" t="s">
        <v>14</v>
      </c>
      <c r="F120" s="24" t="s">
        <v>44</v>
      </c>
      <c r="G120" s="24" t="s">
        <v>15</v>
      </c>
      <c r="H120" s="24" t="s">
        <v>33</v>
      </c>
      <c r="I120" s="24" t="s">
        <v>19</v>
      </c>
      <c r="J120" s="25">
        <v>186</v>
      </c>
      <c r="K120" s="24">
        <v>62</v>
      </c>
      <c r="L120" s="24">
        <v>11532</v>
      </c>
      <c r="M120" s="24">
        <v>11244</v>
      </c>
      <c r="N120" s="24">
        <v>288</v>
      </c>
      <c r="O120" s="24">
        <f t="shared" si="1"/>
        <v>2024</v>
      </c>
      <c r="P120" s="24"/>
      <c r="Q120" s="24"/>
      <c r="R120" s="24"/>
      <c r="S120" s="24"/>
      <c r="T120" s="24"/>
      <c r="U120" s="24"/>
      <c r="V120" s="27"/>
    </row>
    <row r="121" spans="1:22" x14ac:dyDescent="0.35">
      <c r="A121" s="28">
        <v>45424</v>
      </c>
      <c r="B121" s="28" t="s">
        <v>41</v>
      </c>
      <c r="C121" s="29" t="s">
        <v>23</v>
      </c>
      <c r="D121" s="29" t="s">
        <v>50</v>
      </c>
      <c r="E121" s="29" t="s">
        <v>18</v>
      </c>
      <c r="F121" s="29" t="s">
        <v>44</v>
      </c>
      <c r="G121" s="29" t="s">
        <v>15</v>
      </c>
      <c r="H121" s="29" t="s">
        <v>32</v>
      </c>
      <c r="I121" s="29" t="s">
        <v>16</v>
      </c>
      <c r="J121" s="30">
        <v>124</v>
      </c>
      <c r="K121" s="29">
        <v>96</v>
      </c>
      <c r="L121" s="29">
        <v>11904</v>
      </c>
      <c r="M121" s="29">
        <v>10957</v>
      </c>
      <c r="N121" s="29">
        <v>947</v>
      </c>
      <c r="O121" s="29">
        <f t="shared" si="1"/>
        <v>2024</v>
      </c>
      <c r="P121" s="29"/>
      <c r="Q121" s="29"/>
      <c r="R121" s="29"/>
      <c r="S121" s="29"/>
      <c r="T121" s="29"/>
      <c r="U121" s="29"/>
      <c r="V121" s="32"/>
    </row>
    <row r="122" spans="1:22" x14ac:dyDescent="0.35">
      <c r="A122" s="23">
        <v>45425</v>
      </c>
      <c r="B122" s="23" t="s">
        <v>39</v>
      </c>
      <c r="C122" s="24" t="s">
        <v>13</v>
      </c>
      <c r="D122" s="24" t="s">
        <v>49</v>
      </c>
      <c r="E122" s="24" t="s">
        <v>14</v>
      </c>
      <c r="F122" s="24" t="s">
        <v>44</v>
      </c>
      <c r="G122" s="24" t="s">
        <v>15</v>
      </c>
      <c r="H122" s="24" t="s">
        <v>33</v>
      </c>
      <c r="I122" s="24" t="s">
        <v>19</v>
      </c>
      <c r="J122" s="25">
        <v>100</v>
      </c>
      <c r="K122" s="24">
        <v>76</v>
      </c>
      <c r="L122" s="24">
        <v>7600</v>
      </c>
      <c r="M122" s="24">
        <v>7232</v>
      </c>
      <c r="N122" s="24">
        <v>368</v>
      </c>
      <c r="O122" s="24">
        <f t="shared" si="1"/>
        <v>2024</v>
      </c>
      <c r="P122" s="24"/>
      <c r="Q122" s="24"/>
      <c r="R122" s="24"/>
      <c r="S122" s="24"/>
      <c r="T122" s="24"/>
      <c r="U122" s="24"/>
      <c r="V122" s="27"/>
    </row>
    <row r="123" spans="1:22" x14ac:dyDescent="0.35">
      <c r="A123" s="28">
        <v>45426</v>
      </c>
      <c r="B123" s="28" t="s">
        <v>40</v>
      </c>
      <c r="C123" s="29" t="s">
        <v>17</v>
      </c>
      <c r="D123" s="29" t="s">
        <v>48</v>
      </c>
      <c r="E123" s="29" t="s">
        <v>10</v>
      </c>
      <c r="F123" s="29" t="s">
        <v>43</v>
      </c>
      <c r="G123" s="29" t="s">
        <v>11</v>
      </c>
      <c r="H123" s="29" t="s">
        <v>33</v>
      </c>
      <c r="I123" s="29" t="s">
        <v>19</v>
      </c>
      <c r="J123" s="30">
        <v>35</v>
      </c>
      <c r="K123" s="29">
        <v>85</v>
      </c>
      <c r="L123" s="29">
        <v>2975</v>
      </c>
      <c r="M123" s="29">
        <v>2559</v>
      </c>
      <c r="N123" s="29">
        <v>416</v>
      </c>
      <c r="O123" s="29">
        <f t="shared" si="1"/>
        <v>2024</v>
      </c>
      <c r="P123" s="29"/>
      <c r="Q123" s="29"/>
      <c r="R123" s="29"/>
      <c r="S123" s="29"/>
      <c r="T123" s="29"/>
      <c r="U123" s="29"/>
      <c r="V123" s="32"/>
    </row>
    <row r="124" spans="1:22" x14ac:dyDescent="0.35">
      <c r="A124" s="23">
        <v>45427</v>
      </c>
      <c r="B124" s="23" t="s">
        <v>38</v>
      </c>
      <c r="C124" s="24" t="s">
        <v>9</v>
      </c>
      <c r="D124" s="24" t="s">
        <v>53</v>
      </c>
      <c r="E124" s="24" t="s">
        <v>27</v>
      </c>
      <c r="F124" s="24" t="s">
        <v>46</v>
      </c>
      <c r="G124" s="24" t="s">
        <v>26</v>
      </c>
      <c r="H124" s="24" t="s">
        <v>31</v>
      </c>
      <c r="I124" s="24" t="s">
        <v>12</v>
      </c>
      <c r="J124" s="25">
        <v>116</v>
      </c>
      <c r="K124" s="24">
        <v>61</v>
      </c>
      <c r="L124" s="24">
        <v>7076</v>
      </c>
      <c r="M124" s="24">
        <v>6946</v>
      </c>
      <c r="N124" s="24">
        <v>130</v>
      </c>
      <c r="O124" s="24">
        <f t="shared" si="1"/>
        <v>2024</v>
      </c>
      <c r="P124" s="24"/>
      <c r="Q124" s="24"/>
      <c r="R124" s="24"/>
      <c r="S124" s="24"/>
      <c r="T124" s="24"/>
      <c r="U124" s="24"/>
      <c r="V124" s="27"/>
    </row>
    <row r="125" spans="1:22" x14ac:dyDescent="0.35">
      <c r="A125" s="28">
        <v>45428</v>
      </c>
      <c r="B125" s="28" t="s">
        <v>39</v>
      </c>
      <c r="C125" s="29" t="s">
        <v>13</v>
      </c>
      <c r="D125" s="29" t="s">
        <v>51</v>
      </c>
      <c r="E125" s="29" t="s">
        <v>20</v>
      </c>
      <c r="F125" s="29" t="s">
        <v>45</v>
      </c>
      <c r="G125" s="29" t="s">
        <v>21</v>
      </c>
      <c r="H125" s="29" t="s">
        <v>35</v>
      </c>
      <c r="I125" s="29" t="s">
        <v>24</v>
      </c>
      <c r="J125" s="30">
        <v>163</v>
      </c>
      <c r="K125" s="29">
        <v>93</v>
      </c>
      <c r="L125" s="29">
        <v>15159</v>
      </c>
      <c r="M125" s="29">
        <v>14221</v>
      </c>
      <c r="N125" s="29">
        <v>938</v>
      </c>
      <c r="O125" s="29">
        <f t="shared" si="1"/>
        <v>2024</v>
      </c>
      <c r="P125" s="29"/>
      <c r="Q125" s="29"/>
      <c r="R125" s="29"/>
      <c r="S125" s="29"/>
      <c r="T125" s="29"/>
      <c r="U125" s="29"/>
      <c r="V125" s="32"/>
    </row>
    <row r="126" spans="1:22" x14ac:dyDescent="0.35">
      <c r="A126" s="23">
        <v>45429</v>
      </c>
      <c r="B126" s="23" t="s">
        <v>38</v>
      </c>
      <c r="C126" s="24" t="s">
        <v>9</v>
      </c>
      <c r="D126" s="24" t="s">
        <v>51</v>
      </c>
      <c r="E126" s="24" t="s">
        <v>20</v>
      </c>
      <c r="F126" s="24" t="s">
        <v>45</v>
      </c>
      <c r="G126" s="24" t="s">
        <v>21</v>
      </c>
      <c r="H126" s="24" t="s">
        <v>32</v>
      </c>
      <c r="I126" s="24" t="s">
        <v>16</v>
      </c>
      <c r="J126" s="25">
        <v>106</v>
      </c>
      <c r="K126" s="24">
        <v>31</v>
      </c>
      <c r="L126" s="24">
        <v>3286</v>
      </c>
      <c r="M126" s="24">
        <v>3024</v>
      </c>
      <c r="N126" s="24">
        <v>262</v>
      </c>
      <c r="O126" s="24">
        <f t="shared" si="1"/>
        <v>2024</v>
      </c>
      <c r="P126" s="24"/>
      <c r="Q126" s="24"/>
      <c r="R126" s="24"/>
      <c r="S126" s="24"/>
      <c r="T126" s="24"/>
      <c r="U126" s="24"/>
      <c r="V126" s="27"/>
    </row>
    <row r="127" spans="1:22" x14ac:dyDescent="0.35">
      <c r="A127" s="28">
        <v>45430</v>
      </c>
      <c r="B127" s="28" t="s">
        <v>41</v>
      </c>
      <c r="C127" s="29" t="s">
        <v>23</v>
      </c>
      <c r="D127" s="29" t="s">
        <v>51</v>
      </c>
      <c r="E127" s="29" t="s">
        <v>20</v>
      </c>
      <c r="F127" s="29" t="s">
        <v>45</v>
      </c>
      <c r="G127" s="29" t="s">
        <v>21</v>
      </c>
      <c r="H127" s="29" t="s">
        <v>35</v>
      </c>
      <c r="I127" s="29" t="s">
        <v>24</v>
      </c>
      <c r="J127" s="30">
        <v>154</v>
      </c>
      <c r="K127" s="29">
        <v>66</v>
      </c>
      <c r="L127" s="29">
        <v>10164</v>
      </c>
      <c r="M127" s="29">
        <v>9402</v>
      </c>
      <c r="N127" s="29">
        <v>762</v>
      </c>
      <c r="O127" s="29">
        <f t="shared" si="1"/>
        <v>2024</v>
      </c>
      <c r="P127" s="29"/>
      <c r="Q127" s="29"/>
      <c r="R127" s="29"/>
      <c r="S127" s="29"/>
      <c r="T127" s="29"/>
      <c r="U127" s="29"/>
      <c r="V127" s="32"/>
    </row>
    <row r="128" spans="1:22" x14ac:dyDescent="0.35">
      <c r="A128" s="23">
        <v>45431</v>
      </c>
      <c r="B128" s="23" t="s">
        <v>41</v>
      </c>
      <c r="C128" s="24" t="s">
        <v>23</v>
      </c>
      <c r="D128" s="24" t="s">
        <v>51</v>
      </c>
      <c r="E128" s="24" t="s">
        <v>20</v>
      </c>
      <c r="F128" s="24" t="s">
        <v>45</v>
      </c>
      <c r="G128" s="24" t="s">
        <v>21</v>
      </c>
      <c r="H128" s="24" t="s">
        <v>31</v>
      </c>
      <c r="I128" s="24" t="s">
        <v>12</v>
      </c>
      <c r="J128" s="25">
        <v>164</v>
      </c>
      <c r="K128" s="24">
        <v>99</v>
      </c>
      <c r="L128" s="24">
        <v>16236</v>
      </c>
      <c r="M128" s="24">
        <v>15272</v>
      </c>
      <c r="N128" s="24">
        <v>964</v>
      </c>
      <c r="O128" s="24">
        <f t="shared" si="1"/>
        <v>2024</v>
      </c>
      <c r="P128" s="24"/>
      <c r="Q128" s="24"/>
      <c r="R128" s="24"/>
      <c r="S128" s="24"/>
      <c r="T128" s="24"/>
      <c r="U128" s="24"/>
      <c r="V128" s="27"/>
    </row>
    <row r="129" spans="1:22" x14ac:dyDescent="0.35">
      <c r="A129" s="28">
        <v>45432</v>
      </c>
      <c r="B129" s="28" t="s">
        <v>41</v>
      </c>
      <c r="C129" s="29" t="s">
        <v>23</v>
      </c>
      <c r="D129" s="29" t="s">
        <v>48</v>
      </c>
      <c r="E129" s="29" t="s">
        <v>10</v>
      </c>
      <c r="F129" s="29" t="s">
        <v>43</v>
      </c>
      <c r="G129" s="29" t="s">
        <v>11</v>
      </c>
      <c r="H129" s="29" t="s">
        <v>31</v>
      </c>
      <c r="I129" s="29" t="s">
        <v>12</v>
      </c>
      <c r="J129" s="30">
        <v>55</v>
      </c>
      <c r="K129" s="29">
        <v>80</v>
      </c>
      <c r="L129" s="29">
        <v>4400</v>
      </c>
      <c r="M129" s="29">
        <v>3790</v>
      </c>
      <c r="N129" s="29">
        <v>610</v>
      </c>
      <c r="O129" s="29">
        <f t="shared" si="1"/>
        <v>2024</v>
      </c>
      <c r="P129" s="29"/>
      <c r="Q129" s="29"/>
      <c r="R129" s="29"/>
      <c r="S129" s="29"/>
      <c r="T129" s="29"/>
      <c r="U129" s="29"/>
      <c r="V129" s="32"/>
    </row>
    <row r="130" spans="1:22" x14ac:dyDescent="0.35">
      <c r="A130" s="23">
        <v>45433</v>
      </c>
      <c r="B130" s="23" t="s">
        <v>38</v>
      </c>
      <c r="C130" s="24" t="s">
        <v>9</v>
      </c>
      <c r="D130" s="24" t="s">
        <v>55</v>
      </c>
      <c r="E130" s="24" t="s">
        <v>29</v>
      </c>
      <c r="F130" s="24" t="s">
        <v>43</v>
      </c>
      <c r="G130" s="24" t="s">
        <v>11</v>
      </c>
      <c r="H130" s="24" t="s">
        <v>32</v>
      </c>
      <c r="I130" s="24" t="s">
        <v>16</v>
      </c>
      <c r="J130" s="25">
        <v>162</v>
      </c>
      <c r="K130" s="24">
        <v>47</v>
      </c>
      <c r="L130" s="24">
        <v>7614</v>
      </c>
      <c r="M130" s="24">
        <v>6768</v>
      </c>
      <c r="N130" s="24">
        <v>846</v>
      </c>
      <c r="O130" s="24">
        <f t="shared" si="1"/>
        <v>2024</v>
      </c>
      <c r="P130" s="24"/>
      <c r="Q130" s="24"/>
      <c r="R130" s="24"/>
      <c r="S130" s="24"/>
      <c r="T130" s="24"/>
      <c r="U130" s="24"/>
      <c r="V130" s="27"/>
    </row>
    <row r="131" spans="1:22" x14ac:dyDescent="0.35">
      <c r="A131" s="28">
        <v>45434</v>
      </c>
      <c r="B131" s="28" t="s">
        <v>39</v>
      </c>
      <c r="C131" s="29" t="s">
        <v>13</v>
      </c>
      <c r="D131" s="29" t="s">
        <v>55</v>
      </c>
      <c r="E131" s="29" t="s">
        <v>29</v>
      </c>
      <c r="F131" s="29" t="s">
        <v>43</v>
      </c>
      <c r="G131" s="29" t="s">
        <v>11</v>
      </c>
      <c r="H131" s="29" t="s">
        <v>34</v>
      </c>
      <c r="I131" s="29" t="s">
        <v>22</v>
      </c>
      <c r="J131" s="30">
        <v>134</v>
      </c>
      <c r="K131" s="29">
        <v>54</v>
      </c>
      <c r="L131" s="29">
        <v>7236</v>
      </c>
      <c r="M131" s="29">
        <v>6444</v>
      </c>
      <c r="N131" s="29">
        <v>792</v>
      </c>
      <c r="O131" s="29">
        <f t="shared" ref="O131:O194" si="2">YEAR(A131)</f>
        <v>2024</v>
      </c>
      <c r="P131" s="29"/>
      <c r="Q131" s="29"/>
      <c r="R131" s="29"/>
      <c r="S131" s="29"/>
      <c r="T131" s="29"/>
      <c r="U131" s="29"/>
      <c r="V131" s="32"/>
    </row>
    <row r="132" spans="1:22" x14ac:dyDescent="0.35">
      <c r="A132" s="23">
        <v>45435</v>
      </c>
      <c r="B132" s="23" t="s">
        <v>38</v>
      </c>
      <c r="C132" s="24" t="s">
        <v>9</v>
      </c>
      <c r="D132" s="24" t="s">
        <v>49</v>
      </c>
      <c r="E132" s="24" t="s">
        <v>14</v>
      </c>
      <c r="F132" s="24" t="s">
        <v>44</v>
      </c>
      <c r="G132" s="24" t="s">
        <v>15</v>
      </c>
      <c r="H132" s="24" t="s">
        <v>33</v>
      </c>
      <c r="I132" s="24" t="s">
        <v>19</v>
      </c>
      <c r="J132" s="25">
        <v>97</v>
      </c>
      <c r="K132" s="24">
        <v>85</v>
      </c>
      <c r="L132" s="24">
        <v>8245</v>
      </c>
      <c r="M132" s="24">
        <v>7830</v>
      </c>
      <c r="N132" s="24">
        <v>415</v>
      </c>
      <c r="O132" s="24">
        <f t="shared" si="2"/>
        <v>2024</v>
      </c>
      <c r="P132" s="24"/>
      <c r="Q132" s="24"/>
      <c r="R132" s="24"/>
      <c r="S132" s="24"/>
      <c r="T132" s="24"/>
      <c r="U132" s="24"/>
      <c r="V132" s="27"/>
    </row>
    <row r="133" spans="1:22" x14ac:dyDescent="0.35">
      <c r="A133" s="28">
        <v>45436</v>
      </c>
      <c r="B133" s="28" t="s">
        <v>39</v>
      </c>
      <c r="C133" s="29" t="s">
        <v>13</v>
      </c>
      <c r="D133" s="29" t="s">
        <v>55</v>
      </c>
      <c r="E133" s="29" t="s">
        <v>29</v>
      </c>
      <c r="F133" s="29" t="s">
        <v>43</v>
      </c>
      <c r="G133" s="29" t="s">
        <v>11</v>
      </c>
      <c r="H133" s="29" t="s">
        <v>31</v>
      </c>
      <c r="I133" s="29" t="s">
        <v>12</v>
      </c>
      <c r="J133" s="30">
        <v>105</v>
      </c>
      <c r="K133" s="29">
        <v>78</v>
      </c>
      <c r="L133" s="29">
        <v>8190</v>
      </c>
      <c r="M133" s="29">
        <v>7628</v>
      </c>
      <c r="N133" s="29">
        <v>562</v>
      </c>
      <c r="O133" s="29">
        <f t="shared" si="2"/>
        <v>2024</v>
      </c>
      <c r="P133" s="29"/>
      <c r="Q133" s="29"/>
      <c r="R133" s="29"/>
      <c r="S133" s="29"/>
      <c r="T133" s="29"/>
      <c r="U133" s="29"/>
      <c r="V133" s="32"/>
    </row>
    <row r="134" spans="1:22" x14ac:dyDescent="0.35">
      <c r="A134" s="23">
        <v>45437</v>
      </c>
      <c r="B134" s="23" t="s">
        <v>38</v>
      </c>
      <c r="C134" s="24" t="s">
        <v>9</v>
      </c>
      <c r="D134" s="24" t="s">
        <v>53</v>
      </c>
      <c r="E134" s="24" t="s">
        <v>27</v>
      </c>
      <c r="F134" s="24" t="s">
        <v>46</v>
      </c>
      <c r="G134" s="24" t="s">
        <v>26</v>
      </c>
      <c r="H134" s="24" t="s">
        <v>31</v>
      </c>
      <c r="I134" s="24" t="s">
        <v>12</v>
      </c>
      <c r="J134" s="25">
        <v>152</v>
      </c>
      <c r="K134" s="24">
        <v>89</v>
      </c>
      <c r="L134" s="24">
        <v>13528</v>
      </c>
      <c r="M134" s="24">
        <v>12954</v>
      </c>
      <c r="N134" s="24">
        <v>574</v>
      </c>
      <c r="O134" s="24">
        <f t="shared" si="2"/>
        <v>2024</v>
      </c>
      <c r="P134" s="24"/>
      <c r="Q134" s="24"/>
      <c r="R134" s="24"/>
      <c r="S134" s="24"/>
      <c r="T134" s="24"/>
      <c r="U134" s="24"/>
      <c r="V134" s="27"/>
    </row>
    <row r="135" spans="1:22" x14ac:dyDescent="0.35">
      <c r="A135" s="28">
        <v>45438</v>
      </c>
      <c r="B135" s="28" t="s">
        <v>40</v>
      </c>
      <c r="C135" s="29" t="s">
        <v>17</v>
      </c>
      <c r="D135" s="29" t="s">
        <v>54</v>
      </c>
      <c r="E135" s="29" t="s">
        <v>28</v>
      </c>
      <c r="F135" s="29" t="s">
        <v>45</v>
      </c>
      <c r="G135" s="29" t="s">
        <v>21</v>
      </c>
      <c r="H135" s="29" t="s">
        <v>31</v>
      </c>
      <c r="I135" s="29" t="s">
        <v>12</v>
      </c>
      <c r="J135" s="30">
        <v>163</v>
      </c>
      <c r="K135" s="29">
        <v>42</v>
      </c>
      <c r="L135" s="29">
        <v>6846</v>
      </c>
      <c r="M135" s="29">
        <v>6254</v>
      </c>
      <c r="N135" s="29">
        <v>592</v>
      </c>
      <c r="O135" s="29">
        <f t="shared" si="2"/>
        <v>2024</v>
      </c>
      <c r="P135" s="29"/>
      <c r="Q135" s="29"/>
      <c r="R135" s="29"/>
      <c r="S135" s="29"/>
      <c r="T135" s="29"/>
      <c r="U135" s="29"/>
      <c r="V135" s="32"/>
    </row>
    <row r="136" spans="1:22" x14ac:dyDescent="0.35">
      <c r="A136" s="23">
        <v>45439</v>
      </c>
      <c r="B136" s="23" t="s">
        <v>41</v>
      </c>
      <c r="C136" s="24" t="s">
        <v>23</v>
      </c>
      <c r="D136" s="24" t="s">
        <v>49</v>
      </c>
      <c r="E136" s="24" t="s">
        <v>14</v>
      </c>
      <c r="F136" s="24" t="s">
        <v>44</v>
      </c>
      <c r="G136" s="24" t="s">
        <v>15</v>
      </c>
      <c r="H136" s="24" t="s">
        <v>35</v>
      </c>
      <c r="I136" s="24" t="s">
        <v>24</v>
      </c>
      <c r="J136" s="25">
        <v>128</v>
      </c>
      <c r="K136" s="24">
        <v>57</v>
      </c>
      <c r="L136" s="24">
        <v>7296</v>
      </c>
      <c r="M136" s="24">
        <v>6710</v>
      </c>
      <c r="N136" s="24">
        <v>586</v>
      </c>
      <c r="O136" s="24">
        <f t="shared" si="2"/>
        <v>2024</v>
      </c>
      <c r="P136" s="24"/>
      <c r="Q136" s="24"/>
      <c r="R136" s="24"/>
      <c r="S136" s="24"/>
      <c r="T136" s="24"/>
      <c r="U136" s="24"/>
      <c r="V136" s="27"/>
    </row>
    <row r="137" spans="1:22" x14ac:dyDescent="0.35">
      <c r="A137" s="28">
        <v>45440</v>
      </c>
      <c r="B137" s="28" t="s">
        <v>38</v>
      </c>
      <c r="C137" s="29" t="s">
        <v>9</v>
      </c>
      <c r="D137" s="29" t="s">
        <v>48</v>
      </c>
      <c r="E137" s="29" t="s">
        <v>10</v>
      </c>
      <c r="F137" s="29" t="s">
        <v>43</v>
      </c>
      <c r="G137" s="29" t="s">
        <v>11</v>
      </c>
      <c r="H137" s="29" t="s">
        <v>33</v>
      </c>
      <c r="I137" s="29" t="s">
        <v>19</v>
      </c>
      <c r="J137" s="30">
        <v>86</v>
      </c>
      <c r="K137" s="29">
        <v>86</v>
      </c>
      <c r="L137" s="29">
        <v>7396</v>
      </c>
      <c r="M137" s="29">
        <v>7097</v>
      </c>
      <c r="N137" s="29">
        <v>299</v>
      </c>
      <c r="O137" s="29">
        <f t="shared" si="2"/>
        <v>2024</v>
      </c>
      <c r="P137" s="29"/>
      <c r="Q137" s="29"/>
      <c r="R137" s="29"/>
      <c r="S137" s="29"/>
      <c r="T137" s="29"/>
      <c r="U137" s="29"/>
      <c r="V137" s="32"/>
    </row>
    <row r="138" spans="1:22" x14ac:dyDescent="0.35">
      <c r="A138" s="23">
        <v>45441</v>
      </c>
      <c r="B138" s="23" t="s">
        <v>38</v>
      </c>
      <c r="C138" s="24" t="s">
        <v>9</v>
      </c>
      <c r="D138" s="24" t="s">
        <v>51</v>
      </c>
      <c r="E138" s="24" t="s">
        <v>20</v>
      </c>
      <c r="F138" s="24" t="s">
        <v>45</v>
      </c>
      <c r="G138" s="24" t="s">
        <v>21</v>
      </c>
      <c r="H138" s="24" t="s">
        <v>33</v>
      </c>
      <c r="I138" s="24" t="s">
        <v>19</v>
      </c>
      <c r="J138" s="25">
        <v>148</v>
      </c>
      <c r="K138" s="24">
        <v>68</v>
      </c>
      <c r="L138" s="24">
        <v>10064</v>
      </c>
      <c r="M138" s="24">
        <v>9579</v>
      </c>
      <c r="N138" s="24">
        <v>485</v>
      </c>
      <c r="O138" s="24">
        <f t="shared" si="2"/>
        <v>2024</v>
      </c>
      <c r="P138" s="24"/>
      <c r="Q138" s="24"/>
      <c r="R138" s="24"/>
      <c r="S138" s="24"/>
      <c r="T138" s="24"/>
      <c r="U138" s="24"/>
      <c r="V138" s="27"/>
    </row>
    <row r="139" spans="1:22" x14ac:dyDescent="0.35">
      <c r="A139" s="28">
        <v>45442</v>
      </c>
      <c r="B139" s="28" t="s">
        <v>40</v>
      </c>
      <c r="C139" s="29" t="s">
        <v>17</v>
      </c>
      <c r="D139" s="29" t="s">
        <v>55</v>
      </c>
      <c r="E139" s="29" t="s">
        <v>29</v>
      </c>
      <c r="F139" s="29" t="s">
        <v>43</v>
      </c>
      <c r="G139" s="29" t="s">
        <v>11</v>
      </c>
      <c r="H139" s="29" t="s">
        <v>33</v>
      </c>
      <c r="I139" s="29" t="s">
        <v>19</v>
      </c>
      <c r="J139" s="30">
        <v>190</v>
      </c>
      <c r="K139" s="29">
        <v>86</v>
      </c>
      <c r="L139" s="29">
        <v>16340</v>
      </c>
      <c r="M139" s="29">
        <v>15693</v>
      </c>
      <c r="N139" s="29">
        <v>647</v>
      </c>
      <c r="O139" s="29">
        <f t="shared" si="2"/>
        <v>2024</v>
      </c>
      <c r="P139" s="29"/>
      <c r="Q139" s="29"/>
      <c r="R139" s="29"/>
      <c r="S139" s="29"/>
      <c r="T139" s="29"/>
      <c r="U139" s="29"/>
      <c r="V139" s="32"/>
    </row>
    <row r="140" spans="1:22" x14ac:dyDescent="0.35">
      <c r="A140" s="23">
        <v>45443</v>
      </c>
      <c r="B140" s="23" t="s">
        <v>39</v>
      </c>
      <c r="C140" s="24" t="s">
        <v>13</v>
      </c>
      <c r="D140" s="24" t="s">
        <v>55</v>
      </c>
      <c r="E140" s="24" t="s">
        <v>29</v>
      </c>
      <c r="F140" s="24" t="s">
        <v>43</v>
      </c>
      <c r="G140" s="24" t="s">
        <v>11</v>
      </c>
      <c r="H140" s="24" t="s">
        <v>33</v>
      </c>
      <c r="I140" s="24" t="s">
        <v>19</v>
      </c>
      <c r="J140" s="25">
        <v>197</v>
      </c>
      <c r="K140" s="24">
        <v>33</v>
      </c>
      <c r="L140" s="24">
        <v>6501</v>
      </c>
      <c r="M140" s="24">
        <v>5742</v>
      </c>
      <c r="N140" s="24">
        <v>759</v>
      </c>
      <c r="O140" s="24">
        <f t="shared" si="2"/>
        <v>2024</v>
      </c>
      <c r="P140" s="24"/>
      <c r="Q140" s="24"/>
      <c r="R140" s="24"/>
      <c r="S140" s="24"/>
      <c r="T140" s="24"/>
      <c r="U140" s="24"/>
      <c r="V140" s="27"/>
    </row>
    <row r="141" spans="1:22" x14ac:dyDescent="0.35">
      <c r="A141" s="28">
        <v>45444</v>
      </c>
      <c r="B141" s="28" t="s">
        <v>38</v>
      </c>
      <c r="C141" s="29" t="s">
        <v>9</v>
      </c>
      <c r="D141" s="29" t="s">
        <v>54</v>
      </c>
      <c r="E141" s="29" t="s">
        <v>28</v>
      </c>
      <c r="F141" s="29" t="s">
        <v>45</v>
      </c>
      <c r="G141" s="29" t="s">
        <v>21</v>
      </c>
      <c r="H141" s="29" t="s">
        <v>31</v>
      </c>
      <c r="I141" s="29" t="s">
        <v>12</v>
      </c>
      <c r="J141" s="30">
        <v>106</v>
      </c>
      <c r="K141" s="29">
        <v>50</v>
      </c>
      <c r="L141" s="29">
        <v>5300</v>
      </c>
      <c r="M141" s="29">
        <v>5012</v>
      </c>
      <c r="N141" s="29">
        <v>288</v>
      </c>
      <c r="O141" s="29">
        <f t="shared" si="2"/>
        <v>2024</v>
      </c>
      <c r="P141" s="29"/>
      <c r="Q141" s="29"/>
      <c r="R141" s="29"/>
      <c r="S141" s="29"/>
      <c r="T141" s="29"/>
      <c r="U141" s="29"/>
      <c r="V141" s="32"/>
    </row>
    <row r="142" spans="1:22" x14ac:dyDescent="0.35">
      <c r="A142" s="23">
        <v>45445</v>
      </c>
      <c r="B142" s="23" t="s">
        <v>38</v>
      </c>
      <c r="C142" s="24" t="s">
        <v>9</v>
      </c>
      <c r="D142" s="24" t="s">
        <v>50</v>
      </c>
      <c r="E142" s="24" t="s">
        <v>18</v>
      </c>
      <c r="F142" s="24" t="s">
        <v>44</v>
      </c>
      <c r="G142" s="24" t="s">
        <v>15</v>
      </c>
      <c r="H142" s="24" t="s">
        <v>34</v>
      </c>
      <c r="I142" s="24" t="s">
        <v>22</v>
      </c>
      <c r="J142" s="25">
        <v>23</v>
      </c>
      <c r="K142" s="24">
        <v>79</v>
      </c>
      <c r="L142" s="24">
        <v>1817</v>
      </c>
      <c r="M142" s="24">
        <v>996</v>
      </c>
      <c r="N142" s="24">
        <v>821</v>
      </c>
      <c r="O142" s="24">
        <f t="shared" si="2"/>
        <v>2024</v>
      </c>
      <c r="P142" s="24"/>
      <c r="Q142" s="24"/>
      <c r="R142" s="24"/>
      <c r="S142" s="24"/>
      <c r="T142" s="24"/>
      <c r="U142" s="24"/>
      <c r="V142" s="27"/>
    </row>
    <row r="143" spans="1:22" x14ac:dyDescent="0.35">
      <c r="A143" s="28">
        <v>45446</v>
      </c>
      <c r="B143" s="28" t="s">
        <v>38</v>
      </c>
      <c r="C143" s="29" t="s">
        <v>9</v>
      </c>
      <c r="D143" s="29" t="s">
        <v>55</v>
      </c>
      <c r="E143" s="29" t="s">
        <v>29</v>
      </c>
      <c r="F143" s="29" t="s">
        <v>43</v>
      </c>
      <c r="G143" s="29" t="s">
        <v>11</v>
      </c>
      <c r="H143" s="29" t="s">
        <v>32</v>
      </c>
      <c r="I143" s="29" t="s">
        <v>16</v>
      </c>
      <c r="J143" s="30">
        <v>186</v>
      </c>
      <c r="K143" s="29">
        <v>71</v>
      </c>
      <c r="L143" s="29">
        <v>13206</v>
      </c>
      <c r="M143" s="29">
        <v>12682</v>
      </c>
      <c r="N143" s="29">
        <v>524</v>
      </c>
      <c r="O143" s="29">
        <f t="shared" si="2"/>
        <v>2024</v>
      </c>
      <c r="P143" s="29"/>
      <c r="Q143" s="29"/>
      <c r="R143" s="29"/>
      <c r="S143" s="29"/>
      <c r="T143" s="29"/>
      <c r="U143" s="29"/>
      <c r="V143" s="32"/>
    </row>
    <row r="144" spans="1:22" x14ac:dyDescent="0.35">
      <c r="A144" s="23">
        <v>45447</v>
      </c>
      <c r="B144" s="23" t="s">
        <v>40</v>
      </c>
      <c r="C144" s="24" t="s">
        <v>17</v>
      </c>
      <c r="D144" s="24" t="s">
        <v>48</v>
      </c>
      <c r="E144" s="24" t="s">
        <v>10</v>
      </c>
      <c r="F144" s="24" t="s">
        <v>43</v>
      </c>
      <c r="G144" s="24" t="s">
        <v>11</v>
      </c>
      <c r="H144" s="24" t="s">
        <v>31</v>
      </c>
      <c r="I144" s="24" t="s">
        <v>12</v>
      </c>
      <c r="J144" s="25">
        <v>82</v>
      </c>
      <c r="K144" s="24">
        <v>48</v>
      </c>
      <c r="L144" s="24">
        <v>3936</v>
      </c>
      <c r="M144" s="24">
        <v>3061</v>
      </c>
      <c r="N144" s="24">
        <v>875</v>
      </c>
      <c r="O144" s="24">
        <f t="shared" si="2"/>
        <v>2024</v>
      </c>
      <c r="P144" s="24"/>
      <c r="Q144" s="24"/>
      <c r="R144" s="24"/>
      <c r="S144" s="24"/>
      <c r="T144" s="24"/>
      <c r="U144" s="24"/>
      <c r="V144" s="27"/>
    </row>
    <row r="145" spans="1:22" x14ac:dyDescent="0.35">
      <c r="A145" s="28">
        <v>45448</v>
      </c>
      <c r="B145" s="28" t="s">
        <v>40</v>
      </c>
      <c r="C145" s="29" t="s">
        <v>17</v>
      </c>
      <c r="D145" s="29" t="s">
        <v>54</v>
      </c>
      <c r="E145" s="29" t="s">
        <v>28</v>
      </c>
      <c r="F145" s="29" t="s">
        <v>45</v>
      </c>
      <c r="G145" s="29" t="s">
        <v>21</v>
      </c>
      <c r="H145" s="29" t="s">
        <v>32</v>
      </c>
      <c r="I145" s="29" t="s">
        <v>16</v>
      </c>
      <c r="J145" s="30">
        <v>142</v>
      </c>
      <c r="K145" s="29">
        <v>64</v>
      </c>
      <c r="L145" s="29">
        <v>9088</v>
      </c>
      <c r="M145" s="29">
        <v>8309</v>
      </c>
      <c r="N145" s="29">
        <v>779</v>
      </c>
      <c r="O145" s="29">
        <f t="shared" si="2"/>
        <v>2024</v>
      </c>
      <c r="P145" s="29"/>
      <c r="Q145" s="29"/>
      <c r="R145" s="29"/>
      <c r="S145" s="29"/>
      <c r="T145" s="29"/>
      <c r="U145" s="29"/>
      <c r="V145" s="32"/>
    </row>
    <row r="146" spans="1:22" x14ac:dyDescent="0.35">
      <c r="A146" s="23">
        <v>45449</v>
      </c>
      <c r="B146" s="23" t="s">
        <v>38</v>
      </c>
      <c r="C146" s="24" t="s">
        <v>9</v>
      </c>
      <c r="D146" s="24" t="s">
        <v>50</v>
      </c>
      <c r="E146" s="24" t="s">
        <v>18</v>
      </c>
      <c r="F146" s="24" t="s">
        <v>44</v>
      </c>
      <c r="G146" s="24" t="s">
        <v>15</v>
      </c>
      <c r="H146" s="24" t="s">
        <v>35</v>
      </c>
      <c r="I146" s="24" t="s">
        <v>24</v>
      </c>
      <c r="J146" s="25">
        <v>184</v>
      </c>
      <c r="K146" s="24">
        <v>72</v>
      </c>
      <c r="L146" s="24">
        <v>13248</v>
      </c>
      <c r="M146" s="24">
        <v>12680</v>
      </c>
      <c r="N146" s="24">
        <v>568</v>
      </c>
      <c r="O146" s="24">
        <f t="shared" si="2"/>
        <v>2024</v>
      </c>
      <c r="P146" s="24"/>
      <c r="Q146" s="24"/>
      <c r="R146" s="24"/>
      <c r="S146" s="24"/>
      <c r="T146" s="24"/>
      <c r="U146" s="24"/>
      <c r="V146" s="27"/>
    </row>
    <row r="147" spans="1:22" x14ac:dyDescent="0.35">
      <c r="A147" s="28">
        <v>45450</v>
      </c>
      <c r="B147" s="28" t="s">
        <v>38</v>
      </c>
      <c r="C147" s="29" t="s">
        <v>9</v>
      </c>
      <c r="D147" s="29" t="s">
        <v>49</v>
      </c>
      <c r="E147" s="29" t="s">
        <v>14</v>
      </c>
      <c r="F147" s="29" t="s">
        <v>44</v>
      </c>
      <c r="G147" s="29" t="s">
        <v>15</v>
      </c>
      <c r="H147" s="29" t="s">
        <v>34</v>
      </c>
      <c r="I147" s="29" t="s">
        <v>22</v>
      </c>
      <c r="J147" s="30">
        <v>61</v>
      </c>
      <c r="K147" s="29">
        <v>97</v>
      </c>
      <c r="L147" s="29">
        <v>5917</v>
      </c>
      <c r="M147" s="29">
        <v>5120</v>
      </c>
      <c r="N147" s="29">
        <v>797</v>
      </c>
      <c r="O147" s="29">
        <f t="shared" si="2"/>
        <v>2024</v>
      </c>
      <c r="P147" s="29"/>
      <c r="Q147" s="29"/>
      <c r="R147" s="29"/>
      <c r="S147" s="29"/>
      <c r="T147" s="29"/>
      <c r="U147" s="29"/>
      <c r="V147" s="32"/>
    </row>
    <row r="148" spans="1:22" x14ac:dyDescent="0.35">
      <c r="A148" s="23">
        <v>45451</v>
      </c>
      <c r="B148" s="23" t="s">
        <v>38</v>
      </c>
      <c r="C148" s="24" t="s">
        <v>9</v>
      </c>
      <c r="D148" s="24" t="s">
        <v>48</v>
      </c>
      <c r="E148" s="24" t="s">
        <v>10</v>
      </c>
      <c r="F148" s="24" t="s">
        <v>43</v>
      </c>
      <c r="G148" s="24" t="s">
        <v>11</v>
      </c>
      <c r="H148" s="24" t="s">
        <v>35</v>
      </c>
      <c r="I148" s="24" t="s">
        <v>24</v>
      </c>
      <c r="J148" s="25">
        <v>134</v>
      </c>
      <c r="K148" s="24">
        <v>35</v>
      </c>
      <c r="L148" s="24">
        <v>4690</v>
      </c>
      <c r="M148" s="24">
        <v>4089</v>
      </c>
      <c r="N148" s="24">
        <v>601</v>
      </c>
      <c r="O148" s="24">
        <f t="shared" si="2"/>
        <v>2024</v>
      </c>
      <c r="P148" s="24"/>
      <c r="Q148" s="24"/>
      <c r="R148" s="24"/>
      <c r="S148" s="24"/>
      <c r="T148" s="24"/>
      <c r="U148" s="24"/>
      <c r="V148" s="27"/>
    </row>
    <row r="149" spans="1:22" x14ac:dyDescent="0.35">
      <c r="A149" s="28">
        <v>45452</v>
      </c>
      <c r="B149" s="28" t="s">
        <v>41</v>
      </c>
      <c r="C149" s="29" t="s">
        <v>23</v>
      </c>
      <c r="D149" s="29" t="s">
        <v>53</v>
      </c>
      <c r="E149" s="29" t="s">
        <v>27</v>
      </c>
      <c r="F149" s="29" t="s">
        <v>46</v>
      </c>
      <c r="G149" s="29" t="s">
        <v>26</v>
      </c>
      <c r="H149" s="29" t="s">
        <v>31</v>
      </c>
      <c r="I149" s="29" t="s">
        <v>12</v>
      </c>
      <c r="J149" s="30">
        <v>177</v>
      </c>
      <c r="K149" s="29">
        <v>94</v>
      </c>
      <c r="L149" s="29">
        <v>16638</v>
      </c>
      <c r="M149" s="29">
        <v>15866</v>
      </c>
      <c r="N149" s="29">
        <v>772</v>
      </c>
      <c r="O149" s="29">
        <f t="shared" si="2"/>
        <v>2024</v>
      </c>
      <c r="P149" s="29"/>
      <c r="Q149" s="29"/>
      <c r="R149" s="29"/>
      <c r="S149" s="29"/>
      <c r="T149" s="29"/>
      <c r="U149" s="29"/>
      <c r="V149" s="32"/>
    </row>
    <row r="150" spans="1:22" x14ac:dyDescent="0.35">
      <c r="A150" s="23">
        <v>45453</v>
      </c>
      <c r="B150" s="23" t="s">
        <v>40</v>
      </c>
      <c r="C150" s="24" t="s">
        <v>17</v>
      </c>
      <c r="D150" s="24" t="s">
        <v>51</v>
      </c>
      <c r="E150" s="24" t="s">
        <v>20</v>
      </c>
      <c r="F150" s="24" t="s">
        <v>45</v>
      </c>
      <c r="G150" s="24" t="s">
        <v>21</v>
      </c>
      <c r="H150" s="24" t="s">
        <v>32</v>
      </c>
      <c r="I150" s="24" t="s">
        <v>16</v>
      </c>
      <c r="J150" s="25">
        <v>62</v>
      </c>
      <c r="K150" s="24">
        <v>93</v>
      </c>
      <c r="L150" s="24">
        <v>5766</v>
      </c>
      <c r="M150" s="24">
        <v>4873</v>
      </c>
      <c r="N150" s="24">
        <v>893</v>
      </c>
      <c r="O150" s="24">
        <f t="shared" si="2"/>
        <v>2024</v>
      </c>
      <c r="P150" s="24"/>
      <c r="Q150" s="24"/>
      <c r="R150" s="24"/>
      <c r="S150" s="24"/>
      <c r="T150" s="24"/>
      <c r="U150" s="24"/>
      <c r="V150" s="27"/>
    </row>
    <row r="151" spans="1:22" x14ac:dyDescent="0.35">
      <c r="A151" s="28">
        <v>45454</v>
      </c>
      <c r="B151" s="28" t="s">
        <v>40</v>
      </c>
      <c r="C151" s="29" t="s">
        <v>17</v>
      </c>
      <c r="D151" s="29" t="s">
        <v>51</v>
      </c>
      <c r="E151" s="29" t="s">
        <v>20</v>
      </c>
      <c r="F151" s="29" t="s">
        <v>45</v>
      </c>
      <c r="G151" s="29" t="s">
        <v>21</v>
      </c>
      <c r="H151" s="29" t="s">
        <v>35</v>
      </c>
      <c r="I151" s="29" t="s">
        <v>24</v>
      </c>
      <c r="J151" s="30">
        <v>71</v>
      </c>
      <c r="K151" s="29">
        <v>50</v>
      </c>
      <c r="L151" s="29">
        <v>3550</v>
      </c>
      <c r="M151" s="29">
        <v>2664</v>
      </c>
      <c r="N151" s="29">
        <v>886</v>
      </c>
      <c r="O151" s="29">
        <f t="shared" si="2"/>
        <v>2024</v>
      </c>
      <c r="P151" s="29"/>
      <c r="Q151" s="29"/>
      <c r="R151" s="29"/>
      <c r="S151" s="29"/>
      <c r="T151" s="29"/>
      <c r="U151" s="29"/>
      <c r="V151" s="32"/>
    </row>
    <row r="152" spans="1:22" x14ac:dyDescent="0.35">
      <c r="A152" s="23">
        <v>45455</v>
      </c>
      <c r="B152" s="23" t="s">
        <v>39</v>
      </c>
      <c r="C152" s="24" t="s">
        <v>13</v>
      </c>
      <c r="D152" s="24" t="s">
        <v>55</v>
      </c>
      <c r="E152" s="24" t="s">
        <v>29</v>
      </c>
      <c r="F152" s="24" t="s">
        <v>43</v>
      </c>
      <c r="G152" s="24" t="s">
        <v>11</v>
      </c>
      <c r="H152" s="24" t="s">
        <v>32</v>
      </c>
      <c r="I152" s="24" t="s">
        <v>16</v>
      </c>
      <c r="J152" s="25">
        <v>37</v>
      </c>
      <c r="K152" s="24">
        <v>85</v>
      </c>
      <c r="L152" s="24">
        <v>3145</v>
      </c>
      <c r="M152" s="24">
        <v>2750</v>
      </c>
      <c r="N152" s="24">
        <v>395</v>
      </c>
      <c r="O152" s="24">
        <f t="shared" si="2"/>
        <v>2024</v>
      </c>
      <c r="P152" s="24"/>
      <c r="Q152" s="24"/>
      <c r="R152" s="24"/>
      <c r="S152" s="24"/>
      <c r="T152" s="24"/>
      <c r="U152" s="24"/>
      <c r="V152" s="27"/>
    </row>
    <row r="153" spans="1:22" x14ac:dyDescent="0.35">
      <c r="A153" s="28">
        <v>45456</v>
      </c>
      <c r="B153" s="28" t="s">
        <v>39</v>
      </c>
      <c r="C153" s="29" t="s">
        <v>13</v>
      </c>
      <c r="D153" s="29" t="s">
        <v>53</v>
      </c>
      <c r="E153" s="29" t="s">
        <v>27</v>
      </c>
      <c r="F153" s="29" t="s">
        <v>46</v>
      </c>
      <c r="G153" s="29" t="s">
        <v>26</v>
      </c>
      <c r="H153" s="29" t="s">
        <v>32</v>
      </c>
      <c r="I153" s="29" t="s">
        <v>16</v>
      </c>
      <c r="J153" s="30">
        <v>51</v>
      </c>
      <c r="K153" s="29">
        <v>32</v>
      </c>
      <c r="L153" s="29">
        <v>1632</v>
      </c>
      <c r="M153" s="29">
        <v>1275</v>
      </c>
      <c r="N153" s="29">
        <v>357</v>
      </c>
      <c r="O153" s="29">
        <f t="shared" si="2"/>
        <v>2024</v>
      </c>
      <c r="P153" s="29"/>
      <c r="Q153" s="29"/>
      <c r="R153" s="29"/>
      <c r="S153" s="29"/>
      <c r="T153" s="29"/>
      <c r="U153" s="29"/>
      <c r="V153" s="32"/>
    </row>
    <row r="154" spans="1:22" x14ac:dyDescent="0.35">
      <c r="A154" s="23">
        <v>45457</v>
      </c>
      <c r="B154" s="23" t="s">
        <v>38</v>
      </c>
      <c r="C154" s="24" t="s">
        <v>9</v>
      </c>
      <c r="D154" s="24" t="s">
        <v>50</v>
      </c>
      <c r="E154" s="24" t="s">
        <v>18</v>
      </c>
      <c r="F154" s="24" t="s">
        <v>44</v>
      </c>
      <c r="G154" s="24" t="s">
        <v>15</v>
      </c>
      <c r="H154" s="24" t="s">
        <v>33</v>
      </c>
      <c r="I154" s="24" t="s">
        <v>19</v>
      </c>
      <c r="J154" s="25">
        <v>103</v>
      </c>
      <c r="K154" s="24">
        <v>30</v>
      </c>
      <c r="L154" s="24">
        <v>3090</v>
      </c>
      <c r="M154" s="24">
        <v>2321</v>
      </c>
      <c r="N154" s="24">
        <v>769</v>
      </c>
      <c r="O154" s="24">
        <f t="shared" si="2"/>
        <v>2024</v>
      </c>
      <c r="P154" s="24"/>
      <c r="Q154" s="24"/>
      <c r="R154" s="24"/>
      <c r="S154" s="24"/>
      <c r="T154" s="24"/>
      <c r="U154" s="24"/>
      <c r="V154" s="27"/>
    </row>
    <row r="155" spans="1:22" x14ac:dyDescent="0.35">
      <c r="A155" s="28">
        <v>45458</v>
      </c>
      <c r="B155" s="28" t="s">
        <v>38</v>
      </c>
      <c r="C155" s="29" t="s">
        <v>9</v>
      </c>
      <c r="D155" s="29" t="s">
        <v>53</v>
      </c>
      <c r="E155" s="29" t="s">
        <v>27</v>
      </c>
      <c r="F155" s="29" t="s">
        <v>46</v>
      </c>
      <c r="G155" s="29" t="s">
        <v>26</v>
      </c>
      <c r="H155" s="29" t="s">
        <v>31</v>
      </c>
      <c r="I155" s="29" t="s">
        <v>12</v>
      </c>
      <c r="J155" s="30">
        <v>121</v>
      </c>
      <c r="K155" s="29">
        <v>33</v>
      </c>
      <c r="L155" s="29">
        <v>3993</v>
      </c>
      <c r="M155" s="29">
        <v>3558</v>
      </c>
      <c r="N155" s="29">
        <v>435</v>
      </c>
      <c r="O155" s="29">
        <f t="shared" si="2"/>
        <v>2024</v>
      </c>
      <c r="P155" s="29"/>
      <c r="Q155" s="29"/>
      <c r="R155" s="29"/>
      <c r="S155" s="29"/>
      <c r="T155" s="29"/>
      <c r="U155" s="29"/>
      <c r="V155" s="32"/>
    </row>
    <row r="156" spans="1:22" x14ac:dyDescent="0.35">
      <c r="A156" s="23">
        <v>45459</v>
      </c>
      <c r="B156" s="23" t="s">
        <v>41</v>
      </c>
      <c r="C156" s="24" t="s">
        <v>23</v>
      </c>
      <c r="D156" s="24" t="s">
        <v>52</v>
      </c>
      <c r="E156" s="24" t="s">
        <v>25</v>
      </c>
      <c r="F156" s="24" t="s">
        <v>46</v>
      </c>
      <c r="G156" s="24" t="s">
        <v>26</v>
      </c>
      <c r="H156" s="24" t="s">
        <v>34</v>
      </c>
      <c r="I156" s="24" t="s">
        <v>22</v>
      </c>
      <c r="J156" s="25">
        <v>133</v>
      </c>
      <c r="K156" s="24">
        <v>40</v>
      </c>
      <c r="L156" s="24">
        <v>5320</v>
      </c>
      <c r="M156" s="24">
        <v>4931</v>
      </c>
      <c r="N156" s="24">
        <v>389</v>
      </c>
      <c r="O156" s="24">
        <f t="shared" si="2"/>
        <v>2024</v>
      </c>
      <c r="P156" s="24"/>
      <c r="Q156" s="24"/>
      <c r="R156" s="24"/>
      <c r="S156" s="24"/>
      <c r="T156" s="24"/>
      <c r="U156" s="24"/>
      <c r="V156" s="27"/>
    </row>
    <row r="157" spans="1:22" x14ac:dyDescent="0.35">
      <c r="A157" s="28">
        <v>45460</v>
      </c>
      <c r="B157" s="28" t="s">
        <v>39</v>
      </c>
      <c r="C157" s="29" t="s">
        <v>13</v>
      </c>
      <c r="D157" s="29" t="s">
        <v>49</v>
      </c>
      <c r="E157" s="29" t="s">
        <v>14</v>
      </c>
      <c r="F157" s="29" t="s">
        <v>44</v>
      </c>
      <c r="G157" s="29" t="s">
        <v>15</v>
      </c>
      <c r="H157" s="29" t="s">
        <v>33</v>
      </c>
      <c r="I157" s="29" t="s">
        <v>19</v>
      </c>
      <c r="J157" s="30">
        <v>167</v>
      </c>
      <c r="K157" s="29">
        <v>60</v>
      </c>
      <c r="L157" s="29">
        <v>10020</v>
      </c>
      <c r="M157" s="29">
        <v>9815</v>
      </c>
      <c r="N157" s="29">
        <v>205</v>
      </c>
      <c r="O157" s="29">
        <f t="shared" si="2"/>
        <v>2024</v>
      </c>
      <c r="P157" s="29"/>
      <c r="Q157" s="29"/>
      <c r="R157" s="29"/>
      <c r="S157" s="29"/>
      <c r="T157" s="29"/>
      <c r="U157" s="29"/>
      <c r="V157" s="32"/>
    </row>
    <row r="158" spans="1:22" x14ac:dyDescent="0.35">
      <c r="A158" s="23">
        <v>45461</v>
      </c>
      <c r="B158" s="23" t="s">
        <v>41</v>
      </c>
      <c r="C158" s="24" t="s">
        <v>23</v>
      </c>
      <c r="D158" s="24" t="s">
        <v>53</v>
      </c>
      <c r="E158" s="24" t="s">
        <v>27</v>
      </c>
      <c r="F158" s="24" t="s">
        <v>46</v>
      </c>
      <c r="G158" s="24" t="s">
        <v>26</v>
      </c>
      <c r="H158" s="24" t="s">
        <v>34</v>
      </c>
      <c r="I158" s="24" t="s">
        <v>22</v>
      </c>
      <c r="J158" s="25">
        <v>122</v>
      </c>
      <c r="K158" s="24">
        <v>46</v>
      </c>
      <c r="L158" s="24">
        <v>5612</v>
      </c>
      <c r="M158" s="24">
        <v>5108</v>
      </c>
      <c r="N158" s="24">
        <v>504</v>
      </c>
      <c r="O158" s="24">
        <f t="shared" si="2"/>
        <v>2024</v>
      </c>
      <c r="P158" s="24"/>
      <c r="Q158" s="24"/>
      <c r="R158" s="24"/>
      <c r="S158" s="24"/>
      <c r="T158" s="24"/>
      <c r="U158" s="24"/>
      <c r="V158" s="27"/>
    </row>
    <row r="159" spans="1:22" x14ac:dyDescent="0.35">
      <c r="A159" s="28">
        <v>45462</v>
      </c>
      <c r="B159" s="28" t="s">
        <v>41</v>
      </c>
      <c r="C159" s="29" t="s">
        <v>23</v>
      </c>
      <c r="D159" s="29" t="s">
        <v>49</v>
      </c>
      <c r="E159" s="29" t="s">
        <v>14</v>
      </c>
      <c r="F159" s="29" t="s">
        <v>44</v>
      </c>
      <c r="G159" s="29" t="s">
        <v>15</v>
      </c>
      <c r="H159" s="29" t="s">
        <v>32</v>
      </c>
      <c r="I159" s="29" t="s">
        <v>16</v>
      </c>
      <c r="J159" s="30">
        <v>127</v>
      </c>
      <c r="K159" s="29">
        <v>80</v>
      </c>
      <c r="L159" s="29">
        <v>10160</v>
      </c>
      <c r="M159" s="29">
        <v>9663</v>
      </c>
      <c r="N159" s="29">
        <v>497</v>
      </c>
      <c r="O159" s="29">
        <f t="shared" si="2"/>
        <v>2024</v>
      </c>
      <c r="P159" s="29"/>
      <c r="Q159" s="29"/>
      <c r="R159" s="29"/>
      <c r="S159" s="29"/>
      <c r="T159" s="29"/>
      <c r="U159" s="29"/>
      <c r="V159" s="32"/>
    </row>
    <row r="160" spans="1:22" x14ac:dyDescent="0.35">
      <c r="A160" s="23">
        <v>45463</v>
      </c>
      <c r="B160" s="23" t="s">
        <v>39</v>
      </c>
      <c r="C160" s="24" t="s">
        <v>13</v>
      </c>
      <c r="D160" s="24" t="s">
        <v>52</v>
      </c>
      <c r="E160" s="24" t="s">
        <v>25</v>
      </c>
      <c r="F160" s="24" t="s">
        <v>46</v>
      </c>
      <c r="G160" s="24" t="s">
        <v>26</v>
      </c>
      <c r="H160" s="24" t="s">
        <v>31</v>
      </c>
      <c r="I160" s="24" t="s">
        <v>12</v>
      </c>
      <c r="J160" s="25">
        <v>36</v>
      </c>
      <c r="K160" s="24">
        <v>66</v>
      </c>
      <c r="L160" s="24">
        <v>2376</v>
      </c>
      <c r="M160" s="24">
        <v>1555</v>
      </c>
      <c r="N160" s="24">
        <v>821</v>
      </c>
      <c r="O160" s="24">
        <f t="shared" si="2"/>
        <v>2024</v>
      </c>
      <c r="P160" s="24"/>
      <c r="Q160" s="24"/>
      <c r="R160" s="24"/>
      <c r="S160" s="24"/>
      <c r="T160" s="24"/>
      <c r="U160" s="24"/>
      <c r="V160" s="27"/>
    </row>
    <row r="161" spans="1:22" x14ac:dyDescent="0.35">
      <c r="A161" s="28">
        <v>45464</v>
      </c>
      <c r="B161" s="28" t="s">
        <v>41</v>
      </c>
      <c r="C161" s="29" t="s">
        <v>23</v>
      </c>
      <c r="D161" s="29" t="s">
        <v>53</v>
      </c>
      <c r="E161" s="29" t="s">
        <v>27</v>
      </c>
      <c r="F161" s="29" t="s">
        <v>46</v>
      </c>
      <c r="G161" s="29" t="s">
        <v>26</v>
      </c>
      <c r="H161" s="29" t="s">
        <v>33</v>
      </c>
      <c r="I161" s="29" t="s">
        <v>19</v>
      </c>
      <c r="J161" s="30">
        <v>27</v>
      </c>
      <c r="K161" s="29">
        <v>60</v>
      </c>
      <c r="L161" s="29">
        <v>1620</v>
      </c>
      <c r="M161" s="29">
        <v>791</v>
      </c>
      <c r="N161" s="29">
        <v>829</v>
      </c>
      <c r="O161" s="29">
        <f t="shared" si="2"/>
        <v>2024</v>
      </c>
      <c r="P161" s="29"/>
      <c r="Q161" s="29"/>
      <c r="R161" s="29"/>
      <c r="S161" s="29"/>
      <c r="T161" s="29"/>
      <c r="U161" s="29"/>
      <c r="V161" s="32"/>
    </row>
    <row r="162" spans="1:22" x14ac:dyDescent="0.35">
      <c r="A162" s="23">
        <v>45465</v>
      </c>
      <c r="B162" s="23" t="s">
        <v>38</v>
      </c>
      <c r="C162" s="24" t="s">
        <v>9</v>
      </c>
      <c r="D162" s="24" t="s">
        <v>50</v>
      </c>
      <c r="E162" s="24" t="s">
        <v>18</v>
      </c>
      <c r="F162" s="24" t="s">
        <v>44</v>
      </c>
      <c r="G162" s="24" t="s">
        <v>15</v>
      </c>
      <c r="H162" s="24" t="s">
        <v>32</v>
      </c>
      <c r="I162" s="24" t="s">
        <v>16</v>
      </c>
      <c r="J162" s="25">
        <v>155</v>
      </c>
      <c r="K162" s="24">
        <v>86</v>
      </c>
      <c r="L162" s="24">
        <v>13330</v>
      </c>
      <c r="M162" s="24">
        <v>12372</v>
      </c>
      <c r="N162" s="24">
        <v>958</v>
      </c>
      <c r="O162" s="24">
        <f t="shared" si="2"/>
        <v>2024</v>
      </c>
      <c r="P162" s="24"/>
      <c r="Q162" s="24"/>
      <c r="R162" s="24"/>
      <c r="S162" s="24"/>
      <c r="T162" s="24"/>
      <c r="U162" s="24"/>
      <c r="V162" s="27"/>
    </row>
    <row r="163" spans="1:22" x14ac:dyDescent="0.35">
      <c r="A163" s="28">
        <v>45466</v>
      </c>
      <c r="B163" s="28" t="s">
        <v>39</v>
      </c>
      <c r="C163" s="29" t="s">
        <v>13</v>
      </c>
      <c r="D163" s="29" t="s">
        <v>48</v>
      </c>
      <c r="E163" s="29" t="s">
        <v>10</v>
      </c>
      <c r="F163" s="29" t="s">
        <v>43</v>
      </c>
      <c r="G163" s="29" t="s">
        <v>11</v>
      </c>
      <c r="H163" s="29" t="s">
        <v>31</v>
      </c>
      <c r="I163" s="29" t="s">
        <v>12</v>
      </c>
      <c r="J163" s="30">
        <v>167</v>
      </c>
      <c r="K163" s="29">
        <v>52</v>
      </c>
      <c r="L163" s="29">
        <v>8684</v>
      </c>
      <c r="M163" s="29">
        <v>8236</v>
      </c>
      <c r="N163" s="29">
        <v>448</v>
      </c>
      <c r="O163" s="29">
        <f t="shared" si="2"/>
        <v>2024</v>
      </c>
      <c r="P163" s="29"/>
      <c r="Q163" s="29"/>
      <c r="R163" s="29"/>
      <c r="S163" s="29"/>
      <c r="T163" s="29"/>
      <c r="U163" s="29"/>
      <c r="V163" s="32"/>
    </row>
    <row r="164" spans="1:22" x14ac:dyDescent="0.35">
      <c r="A164" s="23">
        <v>45467</v>
      </c>
      <c r="B164" s="23" t="s">
        <v>40</v>
      </c>
      <c r="C164" s="24" t="s">
        <v>17</v>
      </c>
      <c r="D164" s="24" t="s">
        <v>55</v>
      </c>
      <c r="E164" s="24" t="s">
        <v>29</v>
      </c>
      <c r="F164" s="24" t="s">
        <v>43</v>
      </c>
      <c r="G164" s="24" t="s">
        <v>11</v>
      </c>
      <c r="H164" s="24" t="s">
        <v>33</v>
      </c>
      <c r="I164" s="24" t="s">
        <v>19</v>
      </c>
      <c r="J164" s="25">
        <v>57</v>
      </c>
      <c r="K164" s="24">
        <v>71</v>
      </c>
      <c r="L164" s="24">
        <v>4047</v>
      </c>
      <c r="M164" s="24">
        <v>3935</v>
      </c>
      <c r="N164" s="24">
        <v>112</v>
      </c>
      <c r="O164" s="24">
        <f t="shared" si="2"/>
        <v>2024</v>
      </c>
      <c r="P164" s="24"/>
      <c r="Q164" s="24"/>
      <c r="R164" s="24"/>
      <c r="S164" s="24"/>
      <c r="T164" s="24"/>
      <c r="U164" s="24"/>
      <c r="V164" s="27"/>
    </row>
    <row r="165" spans="1:22" x14ac:dyDescent="0.35">
      <c r="A165" s="28">
        <v>45468</v>
      </c>
      <c r="B165" s="28" t="s">
        <v>39</v>
      </c>
      <c r="C165" s="29" t="s">
        <v>13</v>
      </c>
      <c r="D165" s="29" t="s">
        <v>53</v>
      </c>
      <c r="E165" s="29" t="s">
        <v>27</v>
      </c>
      <c r="F165" s="29" t="s">
        <v>46</v>
      </c>
      <c r="G165" s="29" t="s">
        <v>26</v>
      </c>
      <c r="H165" s="29" t="s">
        <v>32</v>
      </c>
      <c r="I165" s="29" t="s">
        <v>16</v>
      </c>
      <c r="J165" s="30">
        <v>43</v>
      </c>
      <c r="K165" s="29">
        <v>78</v>
      </c>
      <c r="L165" s="29">
        <v>3354</v>
      </c>
      <c r="M165" s="29">
        <v>2711</v>
      </c>
      <c r="N165" s="29">
        <v>643</v>
      </c>
      <c r="O165" s="29">
        <f t="shared" si="2"/>
        <v>2024</v>
      </c>
      <c r="P165" s="29"/>
      <c r="Q165" s="29"/>
      <c r="R165" s="29"/>
      <c r="S165" s="29"/>
      <c r="T165" s="29"/>
      <c r="U165" s="29"/>
      <c r="V165" s="32"/>
    </row>
    <row r="166" spans="1:22" x14ac:dyDescent="0.35">
      <c r="A166" s="23">
        <v>45469</v>
      </c>
      <c r="B166" s="23" t="s">
        <v>39</v>
      </c>
      <c r="C166" s="24" t="s">
        <v>13</v>
      </c>
      <c r="D166" s="24" t="s">
        <v>55</v>
      </c>
      <c r="E166" s="24" t="s">
        <v>29</v>
      </c>
      <c r="F166" s="24" t="s">
        <v>43</v>
      </c>
      <c r="G166" s="24" t="s">
        <v>11</v>
      </c>
      <c r="H166" s="24" t="s">
        <v>33</v>
      </c>
      <c r="I166" s="24" t="s">
        <v>19</v>
      </c>
      <c r="J166" s="25">
        <v>151</v>
      </c>
      <c r="K166" s="24">
        <v>99</v>
      </c>
      <c r="L166" s="24">
        <v>14949</v>
      </c>
      <c r="M166" s="24">
        <v>14591</v>
      </c>
      <c r="N166" s="24">
        <v>358</v>
      </c>
      <c r="O166" s="24">
        <f t="shared" si="2"/>
        <v>2024</v>
      </c>
      <c r="P166" s="24"/>
      <c r="Q166" s="24"/>
      <c r="R166" s="24"/>
      <c r="S166" s="24"/>
      <c r="T166" s="24"/>
      <c r="U166" s="24"/>
      <c r="V166" s="27"/>
    </row>
    <row r="167" spans="1:22" x14ac:dyDescent="0.35">
      <c r="A167" s="28">
        <v>45470</v>
      </c>
      <c r="B167" s="28" t="s">
        <v>41</v>
      </c>
      <c r="C167" s="29" t="s">
        <v>23</v>
      </c>
      <c r="D167" s="29" t="s">
        <v>52</v>
      </c>
      <c r="E167" s="29" t="s">
        <v>25</v>
      </c>
      <c r="F167" s="29" t="s">
        <v>46</v>
      </c>
      <c r="G167" s="29" t="s">
        <v>26</v>
      </c>
      <c r="H167" s="29" t="s">
        <v>34</v>
      </c>
      <c r="I167" s="29" t="s">
        <v>22</v>
      </c>
      <c r="J167" s="30">
        <v>103</v>
      </c>
      <c r="K167" s="29">
        <v>65</v>
      </c>
      <c r="L167" s="29">
        <v>6695</v>
      </c>
      <c r="M167" s="29">
        <v>5900</v>
      </c>
      <c r="N167" s="29">
        <v>795</v>
      </c>
      <c r="O167" s="29">
        <f t="shared" si="2"/>
        <v>2024</v>
      </c>
      <c r="P167" s="29"/>
      <c r="Q167" s="29"/>
      <c r="R167" s="29"/>
      <c r="S167" s="29"/>
      <c r="T167" s="29"/>
      <c r="U167" s="29"/>
      <c r="V167" s="32"/>
    </row>
    <row r="168" spans="1:22" x14ac:dyDescent="0.35">
      <c r="A168" s="23">
        <v>45471</v>
      </c>
      <c r="B168" s="23" t="s">
        <v>38</v>
      </c>
      <c r="C168" s="24" t="s">
        <v>9</v>
      </c>
      <c r="D168" s="24" t="s">
        <v>55</v>
      </c>
      <c r="E168" s="24" t="s">
        <v>29</v>
      </c>
      <c r="F168" s="24" t="s">
        <v>43</v>
      </c>
      <c r="G168" s="24" t="s">
        <v>11</v>
      </c>
      <c r="H168" s="24" t="s">
        <v>31</v>
      </c>
      <c r="I168" s="24" t="s">
        <v>12</v>
      </c>
      <c r="J168" s="25">
        <v>145</v>
      </c>
      <c r="K168" s="24">
        <v>80</v>
      </c>
      <c r="L168" s="24">
        <v>11600</v>
      </c>
      <c r="M168" s="24">
        <v>10669</v>
      </c>
      <c r="N168" s="24">
        <v>931</v>
      </c>
      <c r="O168" s="24">
        <f t="shared" si="2"/>
        <v>2024</v>
      </c>
      <c r="P168" s="24"/>
      <c r="Q168" s="24"/>
      <c r="R168" s="24"/>
      <c r="S168" s="24"/>
      <c r="T168" s="24"/>
      <c r="U168" s="24"/>
      <c r="V168" s="27"/>
    </row>
    <row r="169" spans="1:22" x14ac:dyDescent="0.35">
      <c r="A169" s="28">
        <v>45472</v>
      </c>
      <c r="B169" s="28" t="s">
        <v>39</v>
      </c>
      <c r="C169" s="29" t="s">
        <v>13</v>
      </c>
      <c r="D169" s="29" t="s">
        <v>50</v>
      </c>
      <c r="E169" s="29" t="s">
        <v>18</v>
      </c>
      <c r="F169" s="29" t="s">
        <v>44</v>
      </c>
      <c r="G169" s="29" t="s">
        <v>15</v>
      </c>
      <c r="H169" s="29" t="s">
        <v>35</v>
      </c>
      <c r="I169" s="29" t="s">
        <v>24</v>
      </c>
      <c r="J169" s="30">
        <v>138</v>
      </c>
      <c r="K169" s="29">
        <v>99</v>
      </c>
      <c r="L169" s="29">
        <v>13662</v>
      </c>
      <c r="M169" s="29">
        <v>13537</v>
      </c>
      <c r="N169" s="29">
        <v>125</v>
      </c>
      <c r="O169" s="29">
        <f t="shared" si="2"/>
        <v>2024</v>
      </c>
      <c r="P169" s="29"/>
      <c r="Q169" s="29"/>
      <c r="R169" s="29"/>
      <c r="S169" s="29"/>
      <c r="T169" s="29"/>
      <c r="U169" s="29"/>
      <c r="V169" s="32"/>
    </row>
    <row r="170" spans="1:22" x14ac:dyDescent="0.35">
      <c r="A170" s="23">
        <v>45473</v>
      </c>
      <c r="B170" s="23" t="s">
        <v>38</v>
      </c>
      <c r="C170" s="24" t="s">
        <v>9</v>
      </c>
      <c r="D170" s="24" t="s">
        <v>49</v>
      </c>
      <c r="E170" s="24" t="s">
        <v>14</v>
      </c>
      <c r="F170" s="24" t="s">
        <v>44</v>
      </c>
      <c r="G170" s="24" t="s">
        <v>15</v>
      </c>
      <c r="H170" s="24" t="s">
        <v>35</v>
      </c>
      <c r="I170" s="24" t="s">
        <v>24</v>
      </c>
      <c r="J170" s="25">
        <v>84</v>
      </c>
      <c r="K170" s="24">
        <v>42</v>
      </c>
      <c r="L170" s="24">
        <v>3528</v>
      </c>
      <c r="M170" s="24">
        <v>2825</v>
      </c>
      <c r="N170" s="24">
        <v>703</v>
      </c>
      <c r="O170" s="24">
        <f t="shared" si="2"/>
        <v>2024</v>
      </c>
      <c r="P170" s="24"/>
      <c r="Q170" s="24"/>
      <c r="R170" s="24"/>
      <c r="S170" s="24"/>
      <c r="T170" s="24"/>
      <c r="U170" s="24"/>
      <c r="V170" s="27"/>
    </row>
    <row r="171" spans="1:22" x14ac:dyDescent="0.35">
      <c r="A171" s="28">
        <v>45474</v>
      </c>
      <c r="B171" s="28" t="s">
        <v>38</v>
      </c>
      <c r="C171" s="29" t="s">
        <v>9</v>
      </c>
      <c r="D171" s="29" t="s">
        <v>48</v>
      </c>
      <c r="E171" s="29" t="s">
        <v>10</v>
      </c>
      <c r="F171" s="29" t="s">
        <v>43</v>
      </c>
      <c r="G171" s="29" t="s">
        <v>11</v>
      </c>
      <c r="H171" s="29" t="s">
        <v>35</v>
      </c>
      <c r="I171" s="29" t="s">
        <v>24</v>
      </c>
      <c r="J171" s="30">
        <v>111</v>
      </c>
      <c r="K171" s="29">
        <v>81</v>
      </c>
      <c r="L171" s="29">
        <v>8991</v>
      </c>
      <c r="M171" s="29">
        <v>8460</v>
      </c>
      <c r="N171" s="29">
        <v>531</v>
      </c>
      <c r="O171" s="29">
        <f t="shared" si="2"/>
        <v>2024</v>
      </c>
      <c r="P171" s="29"/>
      <c r="Q171" s="29"/>
      <c r="R171" s="29"/>
      <c r="S171" s="29"/>
      <c r="T171" s="29"/>
      <c r="U171" s="29"/>
      <c r="V171" s="32"/>
    </row>
    <row r="172" spans="1:22" x14ac:dyDescent="0.35">
      <c r="A172" s="23">
        <v>45475</v>
      </c>
      <c r="B172" s="23" t="s">
        <v>40</v>
      </c>
      <c r="C172" s="24" t="s">
        <v>17</v>
      </c>
      <c r="D172" s="24" t="s">
        <v>50</v>
      </c>
      <c r="E172" s="24" t="s">
        <v>18</v>
      </c>
      <c r="F172" s="24" t="s">
        <v>44</v>
      </c>
      <c r="G172" s="24" t="s">
        <v>15</v>
      </c>
      <c r="H172" s="24" t="s">
        <v>34</v>
      </c>
      <c r="I172" s="24" t="s">
        <v>22</v>
      </c>
      <c r="J172" s="25">
        <v>56</v>
      </c>
      <c r="K172" s="24">
        <v>78</v>
      </c>
      <c r="L172" s="24">
        <v>4368</v>
      </c>
      <c r="M172" s="24">
        <v>4044</v>
      </c>
      <c r="N172" s="24">
        <v>324</v>
      </c>
      <c r="O172" s="24">
        <f t="shared" si="2"/>
        <v>2024</v>
      </c>
      <c r="P172" s="24"/>
      <c r="Q172" s="24"/>
      <c r="R172" s="24"/>
      <c r="S172" s="24"/>
      <c r="T172" s="24"/>
      <c r="U172" s="24"/>
      <c r="V172" s="27"/>
    </row>
    <row r="173" spans="1:22" x14ac:dyDescent="0.35">
      <c r="A173" s="28">
        <v>45476</v>
      </c>
      <c r="B173" s="28" t="s">
        <v>38</v>
      </c>
      <c r="C173" s="29" t="s">
        <v>9</v>
      </c>
      <c r="D173" s="29" t="s">
        <v>53</v>
      </c>
      <c r="E173" s="29" t="s">
        <v>27</v>
      </c>
      <c r="F173" s="29" t="s">
        <v>46</v>
      </c>
      <c r="G173" s="29" t="s">
        <v>26</v>
      </c>
      <c r="H173" s="29" t="s">
        <v>33</v>
      </c>
      <c r="I173" s="29" t="s">
        <v>19</v>
      </c>
      <c r="J173" s="30">
        <v>130</v>
      </c>
      <c r="K173" s="29">
        <v>31</v>
      </c>
      <c r="L173" s="29">
        <v>4030</v>
      </c>
      <c r="M173" s="29">
        <v>3851</v>
      </c>
      <c r="N173" s="29">
        <v>179</v>
      </c>
      <c r="O173" s="29">
        <f t="shared" si="2"/>
        <v>2024</v>
      </c>
      <c r="P173" s="29"/>
      <c r="Q173" s="29"/>
      <c r="R173" s="29"/>
      <c r="S173" s="29"/>
      <c r="T173" s="29"/>
      <c r="U173" s="29"/>
      <c r="V173" s="32"/>
    </row>
    <row r="174" spans="1:22" x14ac:dyDescent="0.35">
      <c r="A174" s="23">
        <v>45477</v>
      </c>
      <c r="B174" s="23" t="s">
        <v>39</v>
      </c>
      <c r="C174" s="24" t="s">
        <v>13</v>
      </c>
      <c r="D174" s="24" t="s">
        <v>49</v>
      </c>
      <c r="E174" s="24" t="s">
        <v>14</v>
      </c>
      <c r="F174" s="24" t="s">
        <v>44</v>
      </c>
      <c r="G174" s="24" t="s">
        <v>15</v>
      </c>
      <c r="H174" s="24" t="s">
        <v>35</v>
      </c>
      <c r="I174" s="24" t="s">
        <v>24</v>
      </c>
      <c r="J174" s="25">
        <v>71</v>
      </c>
      <c r="K174" s="24">
        <v>32</v>
      </c>
      <c r="L174" s="24">
        <v>2272</v>
      </c>
      <c r="M174" s="24">
        <v>1893</v>
      </c>
      <c r="N174" s="24">
        <v>379</v>
      </c>
      <c r="O174" s="24">
        <f t="shared" si="2"/>
        <v>2024</v>
      </c>
      <c r="P174" s="24"/>
      <c r="Q174" s="24"/>
      <c r="R174" s="24"/>
      <c r="S174" s="24"/>
      <c r="T174" s="24"/>
      <c r="U174" s="24"/>
      <c r="V174" s="27"/>
    </row>
    <row r="175" spans="1:22" x14ac:dyDescent="0.35">
      <c r="A175" s="28">
        <v>45478</v>
      </c>
      <c r="B175" s="28" t="s">
        <v>41</v>
      </c>
      <c r="C175" s="29" t="s">
        <v>23</v>
      </c>
      <c r="D175" s="29" t="s">
        <v>51</v>
      </c>
      <c r="E175" s="29" t="s">
        <v>20</v>
      </c>
      <c r="F175" s="29" t="s">
        <v>45</v>
      </c>
      <c r="G175" s="29" t="s">
        <v>21</v>
      </c>
      <c r="H175" s="29" t="s">
        <v>31</v>
      </c>
      <c r="I175" s="29" t="s">
        <v>12</v>
      </c>
      <c r="J175" s="30">
        <v>192</v>
      </c>
      <c r="K175" s="29">
        <v>63</v>
      </c>
      <c r="L175" s="29">
        <v>12096</v>
      </c>
      <c r="M175" s="29">
        <v>11968</v>
      </c>
      <c r="N175" s="29">
        <v>128</v>
      </c>
      <c r="O175" s="29">
        <f t="shared" si="2"/>
        <v>2024</v>
      </c>
      <c r="P175" s="29"/>
      <c r="Q175" s="29"/>
      <c r="R175" s="29"/>
      <c r="S175" s="29"/>
      <c r="T175" s="29"/>
      <c r="U175" s="29"/>
      <c r="V175" s="32"/>
    </row>
    <row r="176" spans="1:22" x14ac:dyDescent="0.35">
      <c r="A176" s="23">
        <v>45479</v>
      </c>
      <c r="B176" s="23" t="s">
        <v>38</v>
      </c>
      <c r="C176" s="24" t="s">
        <v>9</v>
      </c>
      <c r="D176" s="24" t="s">
        <v>50</v>
      </c>
      <c r="E176" s="24" t="s">
        <v>18</v>
      </c>
      <c r="F176" s="24" t="s">
        <v>44</v>
      </c>
      <c r="G176" s="24" t="s">
        <v>15</v>
      </c>
      <c r="H176" s="24" t="s">
        <v>35</v>
      </c>
      <c r="I176" s="24" t="s">
        <v>24</v>
      </c>
      <c r="J176" s="25">
        <v>145</v>
      </c>
      <c r="K176" s="24">
        <v>96</v>
      </c>
      <c r="L176" s="24">
        <v>13920</v>
      </c>
      <c r="M176" s="24">
        <v>12958</v>
      </c>
      <c r="N176" s="24">
        <v>962</v>
      </c>
      <c r="O176" s="24">
        <f t="shared" si="2"/>
        <v>2024</v>
      </c>
      <c r="P176" s="24"/>
      <c r="Q176" s="24"/>
      <c r="R176" s="24"/>
      <c r="S176" s="24"/>
      <c r="T176" s="24"/>
      <c r="U176" s="24"/>
      <c r="V176" s="27"/>
    </row>
    <row r="177" spans="1:22" x14ac:dyDescent="0.35">
      <c r="A177" s="28">
        <v>45480</v>
      </c>
      <c r="B177" s="28" t="s">
        <v>41</v>
      </c>
      <c r="C177" s="29" t="s">
        <v>23</v>
      </c>
      <c r="D177" s="29" t="s">
        <v>48</v>
      </c>
      <c r="E177" s="29" t="s">
        <v>10</v>
      </c>
      <c r="F177" s="29" t="s">
        <v>43</v>
      </c>
      <c r="G177" s="29" t="s">
        <v>11</v>
      </c>
      <c r="H177" s="29" t="s">
        <v>34</v>
      </c>
      <c r="I177" s="29" t="s">
        <v>22</v>
      </c>
      <c r="J177" s="30">
        <v>197</v>
      </c>
      <c r="K177" s="29">
        <v>30</v>
      </c>
      <c r="L177" s="29">
        <v>5910</v>
      </c>
      <c r="M177" s="29">
        <v>5182</v>
      </c>
      <c r="N177" s="29">
        <v>728</v>
      </c>
      <c r="O177" s="29">
        <f t="shared" si="2"/>
        <v>2024</v>
      </c>
      <c r="P177" s="29"/>
      <c r="Q177" s="29"/>
      <c r="R177" s="29"/>
      <c r="S177" s="29"/>
      <c r="T177" s="29"/>
      <c r="U177" s="29"/>
      <c r="V177" s="32"/>
    </row>
    <row r="178" spans="1:22" x14ac:dyDescent="0.35">
      <c r="A178" s="23">
        <v>45481</v>
      </c>
      <c r="B178" s="23" t="s">
        <v>39</v>
      </c>
      <c r="C178" s="24" t="s">
        <v>13</v>
      </c>
      <c r="D178" s="24" t="s">
        <v>48</v>
      </c>
      <c r="E178" s="24" t="s">
        <v>10</v>
      </c>
      <c r="F178" s="24" t="s">
        <v>43</v>
      </c>
      <c r="G178" s="24" t="s">
        <v>11</v>
      </c>
      <c r="H178" s="24" t="s">
        <v>33</v>
      </c>
      <c r="I178" s="24" t="s">
        <v>19</v>
      </c>
      <c r="J178" s="25">
        <v>125</v>
      </c>
      <c r="K178" s="24">
        <v>30</v>
      </c>
      <c r="L178" s="24">
        <v>3750</v>
      </c>
      <c r="M178" s="24">
        <v>3456</v>
      </c>
      <c r="N178" s="24">
        <v>294</v>
      </c>
      <c r="O178" s="24">
        <f t="shared" si="2"/>
        <v>2024</v>
      </c>
      <c r="P178" s="24"/>
      <c r="Q178" s="24"/>
      <c r="R178" s="24"/>
      <c r="S178" s="24"/>
      <c r="T178" s="24"/>
      <c r="U178" s="24"/>
      <c r="V178" s="27"/>
    </row>
    <row r="179" spans="1:22" x14ac:dyDescent="0.35">
      <c r="A179" s="28">
        <v>45482</v>
      </c>
      <c r="B179" s="28" t="s">
        <v>39</v>
      </c>
      <c r="C179" s="29" t="s">
        <v>13</v>
      </c>
      <c r="D179" s="29" t="s">
        <v>55</v>
      </c>
      <c r="E179" s="29" t="s">
        <v>29</v>
      </c>
      <c r="F179" s="29" t="s">
        <v>43</v>
      </c>
      <c r="G179" s="29" t="s">
        <v>11</v>
      </c>
      <c r="H179" s="29" t="s">
        <v>34</v>
      </c>
      <c r="I179" s="29" t="s">
        <v>22</v>
      </c>
      <c r="J179" s="30">
        <v>32</v>
      </c>
      <c r="K179" s="29">
        <v>50</v>
      </c>
      <c r="L179" s="29">
        <v>1600</v>
      </c>
      <c r="M179" s="29">
        <v>1092</v>
      </c>
      <c r="N179" s="29">
        <v>508</v>
      </c>
      <c r="O179" s="29">
        <f t="shared" si="2"/>
        <v>2024</v>
      </c>
      <c r="P179" s="29"/>
      <c r="Q179" s="29"/>
      <c r="R179" s="29"/>
      <c r="S179" s="29"/>
      <c r="T179" s="29"/>
      <c r="U179" s="29"/>
      <c r="V179" s="32"/>
    </row>
    <row r="180" spans="1:22" x14ac:dyDescent="0.35">
      <c r="A180" s="23">
        <v>45483</v>
      </c>
      <c r="B180" s="23" t="s">
        <v>39</v>
      </c>
      <c r="C180" s="24" t="s">
        <v>13</v>
      </c>
      <c r="D180" s="24" t="s">
        <v>50</v>
      </c>
      <c r="E180" s="24" t="s">
        <v>18</v>
      </c>
      <c r="F180" s="24" t="s">
        <v>44</v>
      </c>
      <c r="G180" s="24" t="s">
        <v>15</v>
      </c>
      <c r="H180" s="24" t="s">
        <v>31</v>
      </c>
      <c r="I180" s="24" t="s">
        <v>12</v>
      </c>
      <c r="J180" s="25">
        <v>48</v>
      </c>
      <c r="K180" s="24">
        <v>83</v>
      </c>
      <c r="L180" s="24">
        <v>3984</v>
      </c>
      <c r="M180" s="24">
        <v>3416</v>
      </c>
      <c r="N180" s="24">
        <v>568</v>
      </c>
      <c r="O180" s="24">
        <f t="shared" si="2"/>
        <v>2024</v>
      </c>
      <c r="P180" s="24"/>
      <c r="Q180" s="24"/>
      <c r="R180" s="24"/>
      <c r="S180" s="24"/>
      <c r="T180" s="24"/>
      <c r="U180" s="24"/>
      <c r="V180" s="27"/>
    </row>
    <row r="181" spans="1:22" x14ac:dyDescent="0.35">
      <c r="A181" s="28">
        <v>45484</v>
      </c>
      <c r="B181" s="28" t="s">
        <v>39</v>
      </c>
      <c r="C181" s="29" t="s">
        <v>13</v>
      </c>
      <c r="D181" s="29" t="s">
        <v>52</v>
      </c>
      <c r="E181" s="29" t="s">
        <v>25</v>
      </c>
      <c r="F181" s="29" t="s">
        <v>46</v>
      </c>
      <c r="G181" s="29" t="s">
        <v>26</v>
      </c>
      <c r="H181" s="29" t="s">
        <v>33</v>
      </c>
      <c r="I181" s="29" t="s">
        <v>19</v>
      </c>
      <c r="J181" s="30">
        <v>124</v>
      </c>
      <c r="K181" s="29">
        <v>50</v>
      </c>
      <c r="L181" s="29">
        <v>6200</v>
      </c>
      <c r="M181" s="29">
        <v>5535</v>
      </c>
      <c r="N181" s="29">
        <v>665</v>
      </c>
      <c r="O181" s="29">
        <f t="shared" si="2"/>
        <v>2024</v>
      </c>
      <c r="P181" s="29"/>
      <c r="Q181" s="29"/>
      <c r="R181" s="29"/>
      <c r="S181" s="29"/>
      <c r="T181" s="29"/>
      <c r="U181" s="29"/>
      <c r="V181" s="32"/>
    </row>
    <row r="182" spans="1:22" x14ac:dyDescent="0.35">
      <c r="A182" s="23">
        <v>45485</v>
      </c>
      <c r="B182" s="23" t="s">
        <v>40</v>
      </c>
      <c r="C182" s="24" t="s">
        <v>17</v>
      </c>
      <c r="D182" s="24" t="s">
        <v>49</v>
      </c>
      <c r="E182" s="24" t="s">
        <v>14</v>
      </c>
      <c r="F182" s="24" t="s">
        <v>44</v>
      </c>
      <c r="G182" s="24" t="s">
        <v>15</v>
      </c>
      <c r="H182" s="24" t="s">
        <v>31</v>
      </c>
      <c r="I182" s="24" t="s">
        <v>12</v>
      </c>
      <c r="J182" s="25">
        <v>77</v>
      </c>
      <c r="K182" s="24">
        <v>42</v>
      </c>
      <c r="L182" s="24">
        <v>3234</v>
      </c>
      <c r="M182" s="24">
        <v>2816</v>
      </c>
      <c r="N182" s="24">
        <v>418</v>
      </c>
      <c r="O182" s="24">
        <f t="shared" si="2"/>
        <v>2024</v>
      </c>
      <c r="P182" s="24"/>
      <c r="Q182" s="24"/>
      <c r="R182" s="24"/>
      <c r="S182" s="24"/>
      <c r="T182" s="24"/>
      <c r="U182" s="24"/>
      <c r="V182" s="27"/>
    </row>
    <row r="183" spans="1:22" x14ac:dyDescent="0.35">
      <c r="A183" s="28">
        <v>45486</v>
      </c>
      <c r="B183" s="28" t="s">
        <v>38</v>
      </c>
      <c r="C183" s="29" t="s">
        <v>9</v>
      </c>
      <c r="D183" s="29" t="s">
        <v>49</v>
      </c>
      <c r="E183" s="29" t="s">
        <v>14</v>
      </c>
      <c r="F183" s="29" t="s">
        <v>44</v>
      </c>
      <c r="G183" s="29" t="s">
        <v>15</v>
      </c>
      <c r="H183" s="29" t="s">
        <v>32</v>
      </c>
      <c r="I183" s="29" t="s">
        <v>16</v>
      </c>
      <c r="J183" s="30">
        <v>75</v>
      </c>
      <c r="K183" s="29">
        <v>57</v>
      </c>
      <c r="L183" s="29">
        <v>4275</v>
      </c>
      <c r="M183" s="29">
        <v>3594</v>
      </c>
      <c r="N183" s="29">
        <v>681</v>
      </c>
      <c r="O183" s="29">
        <f t="shared" si="2"/>
        <v>2024</v>
      </c>
      <c r="P183" s="29"/>
      <c r="Q183" s="29"/>
      <c r="R183" s="29"/>
      <c r="S183" s="29"/>
      <c r="T183" s="29"/>
      <c r="U183" s="29"/>
      <c r="V183" s="32"/>
    </row>
    <row r="184" spans="1:22" x14ac:dyDescent="0.35">
      <c r="A184" s="23">
        <v>45487</v>
      </c>
      <c r="B184" s="23" t="s">
        <v>38</v>
      </c>
      <c r="C184" s="24" t="s">
        <v>9</v>
      </c>
      <c r="D184" s="24" t="s">
        <v>49</v>
      </c>
      <c r="E184" s="24" t="s">
        <v>14</v>
      </c>
      <c r="F184" s="24" t="s">
        <v>44</v>
      </c>
      <c r="G184" s="24" t="s">
        <v>15</v>
      </c>
      <c r="H184" s="24" t="s">
        <v>31</v>
      </c>
      <c r="I184" s="24" t="s">
        <v>12</v>
      </c>
      <c r="J184" s="25">
        <v>54</v>
      </c>
      <c r="K184" s="24">
        <v>83</v>
      </c>
      <c r="L184" s="24">
        <v>4482</v>
      </c>
      <c r="M184" s="24">
        <v>4257</v>
      </c>
      <c r="N184" s="24">
        <v>225</v>
      </c>
      <c r="O184" s="24">
        <f t="shared" si="2"/>
        <v>2024</v>
      </c>
      <c r="P184" s="24"/>
      <c r="Q184" s="24"/>
      <c r="R184" s="24"/>
      <c r="S184" s="24"/>
      <c r="T184" s="24"/>
      <c r="U184" s="24"/>
      <c r="V184" s="27"/>
    </row>
    <row r="185" spans="1:22" x14ac:dyDescent="0.35">
      <c r="A185" s="28">
        <v>45488</v>
      </c>
      <c r="B185" s="28" t="s">
        <v>38</v>
      </c>
      <c r="C185" s="29" t="s">
        <v>9</v>
      </c>
      <c r="D185" s="29" t="s">
        <v>54</v>
      </c>
      <c r="E185" s="29" t="s">
        <v>28</v>
      </c>
      <c r="F185" s="29" t="s">
        <v>45</v>
      </c>
      <c r="G185" s="29" t="s">
        <v>21</v>
      </c>
      <c r="H185" s="29" t="s">
        <v>31</v>
      </c>
      <c r="I185" s="29" t="s">
        <v>12</v>
      </c>
      <c r="J185" s="30">
        <v>136</v>
      </c>
      <c r="K185" s="29">
        <v>84</v>
      </c>
      <c r="L185" s="29">
        <v>11424</v>
      </c>
      <c r="M185" s="29">
        <v>11101</v>
      </c>
      <c r="N185" s="29">
        <v>323</v>
      </c>
      <c r="O185" s="29">
        <f t="shared" si="2"/>
        <v>2024</v>
      </c>
      <c r="P185" s="29"/>
      <c r="Q185" s="29"/>
      <c r="R185" s="29"/>
      <c r="S185" s="29"/>
      <c r="T185" s="29"/>
      <c r="U185" s="29"/>
      <c r="V185" s="32"/>
    </row>
    <row r="186" spans="1:22" x14ac:dyDescent="0.35">
      <c r="A186" s="23">
        <v>45489</v>
      </c>
      <c r="B186" s="23" t="s">
        <v>41</v>
      </c>
      <c r="C186" s="24" t="s">
        <v>23</v>
      </c>
      <c r="D186" s="24" t="s">
        <v>49</v>
      </c>
      <c r="E186" s="24" t="s">
        <v>14</v>
      </c>
      <c r="F186" s="24" t="s">
        <v>44</v>
      </c>
      <c r="G186" s="24" t="s">
        <v>15</v>
      </c>
      <c r="H186" s="24" t="s">
        <v>32</v>
      </c>
      <c r="I186" s="24" t="s">
        <v>16</v>
      </c>
      <c r="J186" s="25">
        <v>76</v>
      </c>
      <c r="K186" s="24">
        <v>52</v>
      </c>
      <c r="L186" s="24">
        <v>3952</v>
      </c>
      <c r="M186" s="24">
        <v>3499</v>
      </c>
      <c r="N186" s="24">
        <v>453</v>
      </c>
      <c r="O186" s="24">
        <f t="shared" si="2"/>
        <v>2024</v>
      </c>
      <c r="P186" s="24"/>
      <c r="Q186" s="24"/>
      <c r="R186" s="24"/>
      <c r="S186" s="24"/>
      <c r="T186" s="24"/>
      <c r="U186" s="24"/>
      <c r="V186" s="27"/>
    </row>
    <row r="187" spans="1:22" x14ac:dyDescent="0.35">
      <c r="A187" s="28">
        <v>45490</v>
      </c>
      <c r="B187" s="28" t="s">
        <v>40</v>
      </c>
      <c r="C187" s="29" t="s">
        <v>17</v>
      </c>
      <c r="D187" s="29" t="s">
        <v>51</v>
      </c>
      <c r="E187" s="29" t="s">
        <v>20</v>
      </c>
      <c r="F187" s="29" t="s">
        <v>45</v>
      </c>
      <c r="G187" s="29" t="s">
        <v>21</v>
      </c>
      <c r="H187" s="29" t="s">
        <v>32</v>
      </c>
      <c r="I187" s="29" t="s">
        <v>16</v>
      </c>
      <c r="J187" s="30">
        <v>115</v>
      </c>
      <c r="K187" s="29">
        <v>51</v>
      </c>
      <c r="L187" s="29">
        <v>5865</v>
      </c>
      <c r="M187" s="29">
        <v>5563</v>
      </c>
      <c r="N187" s="29">
        <v>302</v>
      </c>
      <c r="O187" s="29">
        <f t="shared" si="2"/>
        <v>2024</v>
      </c>
      <c r="P187" s="29"/>
      <c r="Q187" s="29"/>
      <c r="R187" s="29"/>
      <c r="S187" s="29"/>
      <c r="T187" s="29"/>
      <c r="U187" s="29"/>
      <c r="V187" s="32"/>
    </row>
    <row r="188" spans="1:22" x14ac:dyDescent="0.35">
      <c r="A188" s="23">
        <v>45491</v>
      </c>
      <c r="B188" s="23" t="s">
        <v>38</v>
      </c>
      <c r="C188" s="24" t="s">
        <v>9</v>
      </c>
      <c r="D188" s="24" t="s">
        <v>50</v>
      </c>
      <c r="E188" s="24" t="s">
        <v>18</v>
      </c>
      <c r="F188" s="24" t="s">
        <v>44</v>
      </c>
      <c r="G188" s="24" t="s">
        <v>15</v>
      </c>
      <c r="H188" s="24" t="s">
        <v>34</v>
      </c>
      <c r="I188" s="24" t="s">
        <v>22</v>
      </c>
      <c r="J188" s="25">
        <v>166</v>
      </c>
      <c r="K188" s="24">
        <v>56</v>
      </c>
      <c r="L188" s="24">
        <v>9296</v>
      </c>
      <c r="M188" s="24">
        <v>8358</v>
      </c>
      <c r="N188" s="24">
        <v>938</v>
      </c>
      <c r="O188" s="24">
        <f t="shared" si="2"/>
        <v>2024</v>
      </c>
      <c r="P188" s="24"/>
      <c r="Q188" s="24"/>
      <c r="R188" s="24"/>
      <c r="S188" s="24"/>
      <c r="T188" s="24"/>
      <c r="U188" s="24"/>
      <c r="V188" s="27"/>
    </row>
    <row r="189" spans="1:22" x14ac:dyDescent="0.35">
      <c r="A189" s="28">
        <v>45492</v>
      </c>
      <c r="B189" s="28" t="s">
        <v>39</v>
      </c>
      <c r="C189" s="29" t="s">
        <v>13</v>
      </c>
      <c r="D189" s="29" t="s">
        <v>55</v>
      </c>
      <c r="E189" s="29" t="s">
        <v>29</v>
      </c>
      <c r="F189" s="29" t="s">
        <v>43</v>
      </c>
      <c r="G189" s="29" t="s">
        <v>11</v>
      </c>
      <c r="H189" s="29" t="s">
        <v>34</v>
      </c>
      <c r="I189" s="29" t="s">
        <v>22</v>
      </c>
      <c r="J189" s="30">
        <v>182</v>
      </c>
      <c r="K189" s="29">
        <v>87</v>
      </c>
      <c r="L189" s="29">
        <v>15834</v>
      </c>
      <c r="M189" s="29">
        <v>15347</v>
      </c>
      <c r="N189" s="29">
        <v>487</v>
      </c>
      <c r="O189" s="29">
        <f t="shared" si="2"/>
        <v>2024</v>
      </c>
      <c r="P189" s="29"/>
      <c r="Q189" s="29"/>
      <c r="R189" s="29"/>
      <c r="S189" s="29"/>
      <c r="T189" s="29"/>
      <c r="U189" s="29"/>
      <c r="V189" s="32"/>
    </row>
    <row r="190" spans="1:22" x14ac:dyDescent="0.35">
      <c r="A190" s="23">
        <v>45493</v>
      </c>
      <c r="B190" s="23" t="s">
        <v>40</v>
      </c>
      <c r="C190" s="24" t="s">
        <v>17</v>
      </c>
      <c r="D190" s="24" t="s">
        <v>50</v>
      </c>
      <c r="E190" s="24" t="s">
        <v>18</v>
      </c>
      <c r="F190" s="24" t="s">
        <v>44</v>
      </c>
      <c r="G190" s="24" t="s">
        <v>15</v>
      </c>
      <c r="H190" s="24" t="s">
        <v>31</v>
      </c>
      <c r="I190" s="24" t="s">
        <v>12</v>
      </c>
      <c r="J190" s="25">
        <v>88</v>
      </c>
      <c r="K190" s="24">
        <v>79</v>
      </c>
      <c r="L190" s="24">
        <v>6952</v>
      </c>
      <c r="M190" s="24">
        <v>6584</v>
      </c>
      <c r="N190" s="24">
        <v>368</v>
      </c>
      <c r="O190" s="24">
        <f t="shared" si="2"/>
        <v>2024</v>
      </c>
      <c r="P190" s="24"/>
      <c r="Q190" s="24"/>
      <c r="R190" s="24"/>
      <c r="S190" s="24"/>
      <c r="T190" s="24"/>
      <c r="U190" s="24"/>
      <c r="V190" s="27"/>
    </row>
    <row r="191" spans="1:22" x14ac:dyDescent="0.35">
      <c r="A191" s="28">
        <v>45494</v>
      </c>
      <c r="B191" s="28" t="s">
        <v>41</v>
      </c>
      <c r="C191" s="29" t="s">
        <v>23</v>
      </c>
      <c r="D191" s="29" t="s">
        <v>49</v>
      </c>
      <c r="E191" s="29" t="s">
        <v>14</v>
      </c>
      <c r="F191" s="29" t="s">
        <v>44</v>
      </c>
      <c r="G191" s="29" t="s">
        <v>15</v>
      </c>
      <c r="H191" s="29" t="s">
        <v>33</v>
      </c>
      <c r="I191" s="29" t="s">
        <v>19</v>
      </c>
      <c r="J191" s="30">
        <v>165</v>
      </c>
      <c r="K191" s="29">
        <v>36</v>
      </c>
      <c r="L191" s="29">
        <v>5940</v>
      </c>
      <c r="M191" s="29">
        <v>5622</v>
      </c>
      <c r="N191" s="29">
        <v>318</v>
      </c>
      <c r="O191" s="29">
        <f t="shared" si="2"/>
        <v>2024</v>
      </c>
      <c r="P191" s="29"/>
      <c r="Q191" s="29"/>
      <c r="R191" s="29"/>
      <c r="S191" s="29"/>
      <c r="T191" s="29"/>
      <c r="U191" s="29"/>
      <c r="V191" s="32"/>
    </row>
    <row r="192" spans="1:22" x14ac:dyDescent="0.35">
      <c r="A192" s="23">
        <v>45495</v>
      </c>
      <c r="B192" s="23" t="s">
        <v>38</v>
      </c>
      <c r="C192" s="24" t="s">
        <v>9</v>
      </c>
      <c r="D192" s="24" t="s">
        <v>55</v>
      </c>
      <c r="E192" s="24" t="s">
        <v>29</v>
      </c>
      <c r="F192" s="24" t="s">
        <v>43</v>
      </c>
      <c r="G192" s="24" t="s">
        <v>11</v>
      </c>
      <c r="H192" s="24" t="s">
        <v>31</v>
      </c>
      <c r="I192" s="24" t="s">
        <v>12</v>
      </c>
      <c r="J192" s="25">
        <v>69</v>
      </c>
      <c r="K192" s="24">
        <v>87</v>
      </c>
      <c r="L192" s="24">
        <v>6003</v>
      </c>
      <c r="M192" s="24">
        <v>5715</v>
      </c>
      <c r="N192" s="24">
        <v>288</v>
      </c>
      <c r="O192" s="24">
        <f t="shared" si="2"/>
        <v>2024</v>
      </c>
      <c r="P192" s="24"/>
      <c r="Q192" s="24"/>
      <c r="R192" s="24"/>
      <c r="S192" s="24"/>
      <c r="T192" s="24"/>
      <c r="U192" s="24"/>
      <c r="V192" s="27"/>
    </row>
    <row r="193" spans="1:22" x14ac:dyDescent="0.35">
      <c r="A193" s="28">
        <v>45496</v>
      </c>
      <c r="B193" s="28" t="s">
        <v>40</v>
      </c>
      <c r="C193" s="29" t="s">
        <v>17</v>
      </c>
      <c r="D193" s="29" t="s">
        <v>54</v>
      </c>
      <c r="E193" s="29" t="s">
        <v>28</v>
      </c>
      <c r="F193" s="29" t="s">
        <v>45</v>
      </c>
      <c r="G193" s="29" t="s">
        <v>21</v>
      </c>
      <c r="H193" s="29" t="s">
        <v>35</v>
      </c>
      <c r="I193" s="29" t="s">
        <v>24</v>
      </c>
      <c r="J193" s="30">
        <v>50</v>
      </c>
      <c r="K193" s="29">
        <v>57</v>
      </c>
      <c r="L193" s="29">
        <v>2850</v>
      </c>
      <c r="M193" s="29">
        <v>2233</v>
      </c>
      <c r="N193" s="29">
        <v>617</v>
      </c>
      <c r="O193" s="29">
        <f t="shared" si="2"/>
        <v>2024</v>
      </c>
      <c r="P193" s="29"/>
      <c r="Q193" s="29"/>
      <c r="R193" s="29"/>
      <c r="S193" s="29"/>
      <c r="T193" s="29"/>
      <c r="U193" s="29"/>
      <c r="V193" s="32"/>
    </row>
    <row r="194" spans="1:22" x14ac:dyDescent="0.35">
      <c r="A194" s="23">
        <v>45497</v>
      </c>
      <c r="B194" s="23" t="s">
        <v>41</v>
      </c>
      <c r="C194" s="24" t="s">
        <v>23</v>
      </c>
      <c r="D194" s="24" t="s">
        <v>53</v>
      </c>
      <c r="E194" s="24" t="s">
        <v>27</v>
      </c>
      <c r="F194" s="24" t="s">
        <v>46</v>
      </c>
      <c r="G194" s="24" t="s">
        <v>26</v>
      </c>
      <c r="H194" s="24" t="s">
        <v>32</v>
      </c>
      <c r="I194" s="24" t="s">
        <v>16</v>
      </c>
      <c r="J194" s="25">
        <v>136</v>
      </c>
      <c r="K194" s="24">
        <v>85</v>
      </c>
      <c r="L194" s="24">
        <v>11560</v>
      </c>
      <c r="M194" s="24">
        <v>11228</v>
      </c>
      <c r="N194" s="24">
        <v>332</v>
      </c>
      <c r="O194" s="24">
        <f t="shared" si="2"/>
        <v>2024</v>
      </c>
      <c r="P194" s="24"/>
      <c r="Q194" s="24"/>
      <c r="R194" s="24"/>
      <c r="S194" s="24"/>
      <c r="T194" s="24"/>
      <c r="U194" s="24"/>
      <c r="V194" s="27"/>
    </row>
    <row r="195" spans="1:22" x14ac:dyDescent="0.35">
      <c r="A195" s="28">
        <v>45498</v>
      </c>
      <c r="B195" s="28" t="s">
        <v>40</v>
      </c>
      <c r="C195" s="29" t="s">
        <v>17</v>
      </c>
      <c r="D195" s="29" t="s">
        <v>49</v>
      </c>
      <c r="E195" s="29" t="s">
        <v>14</v>
      </c>
      <c r="F195" s="29" t="s">
        <v>44</v>
      </c>
      <c r="G195" s="29" t="s">
        <v>15</v>
      </c>
      <c r="H195" s="29" t="s">
        <v>35</v>
      </c>
      <c r="I195" s="29" t="s">
        <v>24</v>
      </c>
      <c r="J195" s="30">
        <v>58</v>
      </c>
      <c r="K195" s="29">
        <v>71</v>
      </c>
      <c r="L195" s="29">
        <v>4118</v>
      </c>
      <c r="M195" s="29">
        <v>3140</v>
      </c>
      <c r="N195" s="29">
        <v>978</v>
      </c>
      <c r="O195" s="29">
        <f t="shared" ref="O195:O258" si="3">YEAR(A195)</f>
        <v>2024</v>
      </c>
      <c r="P195" s="29"/>
      <c r="Q195" s="29"/>
      <c r="R195" s="29"/>
      <c r="S195" s="29"/>
      <c r="T195" s="29"/>
      <c r="U195" s="29"/>
      <c r="V195" s="32"/>
    </row>
    <row r="196" spans="1:22" x14ac:dyDescent="0.35">
      <c r="A196" s="23">
        <v>45499</v>
      </c>
      <c r="B196" s="23" t="s">
        <v>40</v>
      </c>
      <c r="C196" s="24" t="s">
        <v>17</v>
      </c>
      <c r="D196" s="24" t="s">
        <v>49</v>
      </c>
      <c r="E196" s="24" t="s">
        <v>14</v>
      </c>
      <c r="F196" s="24" t="s">
        <v>44</v>
      </c>
      <c r="G196" s="24" t="s">
        <v>15</v>
      </c>
      <c r="H196" s="24" t="s">
        <v>35</v>
      </c>
      <c r="I196" s="24" t="s">
        <v>24</v>
      </c>
      <c r="J196" s="25">
        <v>69</v>
      </c>
      <c r="K196" s="24">
        <v>99</v>
      </c>
      <c r="L196" s="24">
        <v>6831</v>
      </c>
      <c r="M196" s="24">
        <v>6346</v>
      </c>
      <c r="N196" s="24">
        <v>485</v>
      </c>
      <c r="O196" s="24">
        <f t="shared" si="3"/>
        <v>2024</v>
      </c>
      <c r="P196" s="24"/>
      <c r="Q196" s="24"/>
      <c r="R196" s="24"/>
      <c r="S196" s="24"/>
      <c r="T196" s="24"/>
      <c r="U196" s="24"/>
      <c r="V196" s="27"/>
    </row>
    <row r="197" spans="1:22" x14ac:dyDescent="0.35">
      <c r="A197" s="28">
        <v>45500</v>
      </c>
      <c r="B197" s="28" t="s">
        <v>41</v>
      </c>
      <c r="C197" s="29" t="s">
        <v>23</v>
      </c>
      <c r="D197" s="29" t="s">
        <v>49</v>
      </c>
      <c r="E197" s="29" t="s">
        <v>14</v>
      </c>
      <c r="F197" s="29" t="s">
        <v>44</v>
      </c>
      <c r="G197" s="29" t="s">
        <v>15</v>
      </c>
      <c r="H197" s="29" t="s">
        <v>35</v>
      </c>
      <c r="I197" s="29" t="s">
        <v>24</v>
      </c>
      <c r="J197" s="30">
        <v>111</v>
      </c>
      <c r="K197" s="29">
        <v>66</v>
      </c>
      <c r="L197" s="29">
        <v>7326</v>
      </c>
      <c r="M197" s="29">
        <v>6455</v>
      </c>
      <c r="N197" s="29">
        <v>871</v>
      </c>
      <c r="O197" s="29">
        <f t="shared" si="3"/>
        <v>2024</v>
      </c>
      <c r="P197" s="29"/>
      <c r="Q197" s="29"/>
      <c r="R197" s="29"/>
      <c r="S197" s="29"/>
      <c r="T197" s="29"/>
      <c r="U197" s="29"/>
      <c r="V197" s="32"/>
    </row>
    <row r="198" spans="1:22" x14ac:dyDescent="0.35">
      <c r="A198" s="23">
        <v>45501</v>
      </c>
      <c r="B198" s="23" t="s">
        <v>41</v>
      </c>
      <c r="C198" s="24" t="s">
        <v>23</v>
      </c>
      <c r="D198" s="24" t="s">
        <v>52</v>
      </c>
      <c r="E198" s="24" t="s">
        <v>25</v>
      </c>
      <c r="F198" s="24" t="s">
        <v>46</v>
      </c>
      <c r="G198" s="24" t="s">
        <v>26</v>
      </c>
      <c r="H198" s="24" t="s">
        <v>31</v>
      </c>
      <c r="I198" s="24" t="s">
        <v>12</v>
      </c>
      <c r="J198" s="25">
        <v>157</v>
      </c>
      <c r="K198" s="24">
        <v>35</v>
      </c>
      <c r="L198" s="24">
        <v>5495</v>
      </c>
      <c r="M198" s="24">
        <v>4797</v>
      </c>
      <c r="N198" s="24">
        <v>698</v>
      </c>
      <c r="O198" s="24">
        <f t="shared" si="3"/>
        <v>2024</v>
      </c>
      <c r="P198" s="24"/>
      <c r="Q198" s="24"/>
      <c r="R198" s="24"/>
      <c r="S198" s="24"/>
      <c r="T198" s="24"/>
      <c r="U198" s="24"/>
      <c r="V198" s="27"/>
    </row>
    <row r="199" spans="1:22" x14ac:dyDescent="0.35">
      <c r="A199" s="28">
        <v>45502</v>
      </c>
      <c r="B199" s="28" t="s">
        <v>41</v>
      </c>
      <c r="C199" s="29" t="s">
        <v>23</v>
      </c>
      <c r="D199" s="29" t="s">
        <v>53</v>
      </c>
      <c r="E199" s="29" t="s">
        <v>27</v>
      </c>
      <c r="F199" s="29" t="s">
        <v>46</v>
      </c>
      <c r="G199" s="29" t="s">
        <v>26</v>
      </c>
      <c r="H199" s="29" t="s">
        <v>35</v>
      </c>
      <c r="I199" s="29" t="s">
        <v>24</v>
      </c>
      <c r="J199" s="30">
        <v>131</v>
      </c>
      <c r="K199" s="29">
        <v>55</v>
      </c>
      <c r="L199" s="29">
        <v>7205</v>
      </c>
      <c r="M199" s="29">
        <v>6268</v>
      </c>
      <c r="N199" s="29">
        <v>937</v>
      </c>
      <c r="O199" s="29">
        <f t="shared" si="3"/>
        <v>2024</v>
      </c>
      <c r="P199" s="29"/>
      <c r="Q199" s="29"/>
      <c r="R199" s="29"/>
      <c r="S199" s="29"/>
      <c r="T199" s="29"/>
      <c r="U199" s="29"/>
      <c r="V199" s="32"/>
    </row>
    <row r="200" spans="1:22" x14ac:dyDescent="0.35">
      <c r="A200" s="23">
        <v>45503</v>
      </c>
      <c r="B200" s="23" t="s">
        <v>38</v>
      </c>
      <c r="C200" s="24" t="s">
        <v>9</v>
      </c>
      <c r="D200" s="24" t="s">
        <v>50</v>
      </c>
      <c r="E200" s="24" t="s">
        <v>18</v>
      </c>
      <c r="F200" s="24" t="s">
        <v>44</v>
      </c>
      <c r="G200" s="24" t="s">
        <v>15</v>
      </c>
      <c r="H200" s="24" t="s">
        <v>32</v>
      </c>
      <c r="I200" s="24" t="s">
        <v>16</v>
      </c>
      <c r="J200" s="25">
        <v>85</v>
      </c>
      <c r="K200" s="24">
        <v>93</v>
      </c>
      <c r="L200" s="24">
        <v>7905</v>
      </c>
      <c r="M200" s="24">
        <v>7373</v>
      </c>
      <c r="N200" s="24">
        <v>532</v>
      </c>
      <c r="O200" s="24">
        <f t="shared" si="3"/>
        <v>2024</v>
      </c>
      <c r="P200" s="24"/>
      <c r="Q200" s="24"/>
      <c r="R200" s="24"/>
      <c r="S200" s="24"/>
      <c r="T200" s="24"/>
      <c r="U200" s="24"/>
      <c r="V200" s="27"/>
    </row>
    <row r="201" spans="1:22" x14ac:dyDescent="0.35">
      <c r="A201" s="28">
        <v>45504</v>
      </c>
      <c r="B201" s="28" t="s">
        <v>38</v>
      </c>
      <c r="C201" s="29" t="s">
        <v>9</v>
      </c>
      <c r="D201" s="29" t="s">
        <v>48</v>
      </c>
      <c r="E201" s="29" t="s">
        <v>10</v>
      </c>
      <c r="F201" s="29" t="s">
        <v>43</v>
      </c>
      <c r="G201" s="29" t="s">
        <v>11</v>
      </c>
      <c r="H201" s="29" t="s">
        <v>31</v>
      </c>
      <c r="I201" s="29" t="s">
        <v>12</v>
      </c>
      <c r="J201" s="30">
        <v>62</v>
      </c>
      <c r="K201" s="29">
        <v>93</v>
      </c>
      <c r="L201" s="29">
        <v>5766</v>
      </c>
      <c r="M201" s="29">
        <v>5238</v>
      </c>
      <c r="N201" s="29">
        <v>528</v>
      </c>
      <c r="O201" s="29">
        <f t="shared" si="3"/>
        <v>2024</v>
      </c>
      <c r="P201" s="29"/>
      <c r="Q201" s="29"/>
      <c r="R201" s="29"/>
      <c r="S201" s="29"/>
      <c r="T201" s="29"/>
      <c r="U201" s="29"/>
      <c r="V201" s="32"/>
    </row>
    <row r="202" spans="1:22" x14ac:dyDescent="0.35">
      <c r="A202" s="23">
        <v>45505</v>
      </c>
      <c r="B202" s="23" t="s">
        <v>38</v>
      </c>
      <c r="C202" s="24" t="s">
        <v>9</v>
      </c>
      <c r="D202" s="24" t="s">
        <v>50</v>
      </c>
      <c r="E202" s="24" t="s">
        <v>18</v>
      </c>
      <c r="F202" s="24" t="s">
        <v>44</v>
      </c>
      <c r="G202" s="24" t="s">
        <v>15</v>
      </c>
      <c r="H202" s="24" t="s">
        <v>32</v>
      </c>
      <c r="I202" s="24" t="s">
        <v>16</v>
      </c>
      <c r="J202" s="25">
        <v>22</v>
      </c>
      <c r="K202" s="24">
        <v>79</v>
      </c>
      <c r="L202" s="24">
        <v>1738</v>
      </c>
      <c r="M202" s="24">
        <v>1624</v>
      </c>
      <c r="N202" s="24">
        <v>114</v>
      </c>
      <c r="O202" s="24">
        <f t="shared" si="3"/>
        <v>2024</v>
      </c>
      <c r="P202" s="24"/>
      <c r="Q202" s="24"/>
      <c r="R202" s="24"/>
      <c r="S202" s="24"/>
      <c r="T202" s="24"/>
      <c r="U202" s="24"/>
      <c r="V202" s="27"/>
    </row>
    <row r="203" spans="1:22" x14ac:dyDescent="0.35">
      <c r="A203" s="28">
        <v>45506</v>
      </c>
      <c r="B203" s="28" t="s">
        <v>41</v>
      </c>
      <c r="C203" s="29" t="s">
        <v>23</v>
      </c>
      <c r="D203" s="29" t="s">
        <v>51</v>
      </c>
      <c r="E203" s="29" t="s">
        <v>20</v>
      </c>
      <c r="F203" s="29" t="s">
        <v>45</v>
      </c>
      <c r="G203" s="29" t="s">
        <v>21</v>
      </c>
      <c r="H203" s="29" t="s">
        <v>32</v>
      </c>
      <c r="I203" s="29" t="s">
        <v>16</v>
      </c>
      <c r="J203" s="30">
        <v>148</v>
      </c>
      <c r="K203" s="29">
        <v>31</v>
      </c>
      <c r="L203" s="29">
        <v>4588</v>
      </c>
      <c r="M203" s="29">
        <v>4406</v>
      </c>
      <c r="N203" s="29">
        <v>182</v>
      </c>
      <c r="O203" s="29">
        <f t="shared" si="3"/>
        <v>2024</v>
      </c>
      <c r="P203" s="29"/>
      <c r="Q203" s="29"/>
      <c r="R203" s="29"/>
      <c r="S203" s="29"/>
      <c r="T203" s="29"/>
      <c r="U203" s="29"/>
      <c r="V203" s="32"/>
    </row>
    <row r="204" spans="1:22" x14ac:dyDescent="0.35">
      <c r="A204" s="23">
        <v>45507</v>
      </c>
      <c r="B204" s="23" t="s">
        <v>38</v>
      </c>
      <c r="C204" s="24" t="s">
        <v>9</v>
      </c>
      <c r="D204" s="24" t="s">
        <v>48</v>
      </c>
      <c r="E204" s="24" t="s">
        <v>10</v>
      </c>
      <c r="F204" s="24" t="s">
        <v>43</v>
      </c>
      <c r="G204" s="24" t="s">
        <v>11</v>
      </c>
      <c r="H204" s="24" t="s">
        <v>33</v>
      </c>
      <c r="I204" s="24" t="s">
        <v>19</v>
      </c>
      <c r="J204" s="25">
        <v>75</v>
      </c>
      <c r="K204" s="24">
        <v>31</v>
      </c>
      <c r="L204" s="24">
        <v>2325</v>
      </c>
      <c r="M204" s="24">
        <v>1819</v>
      </c>
      <c r="N204" s="24">
        <v>506</v>
      </c>
      <c r="O204" s="24">
        <f t="shared" si="3"/>
        <v>2024</v>
      </c>
      <c r="P204" s="24"/>
      <c r="Q204" s="24"/>
      <c r="R204" s="24"/>
      <c r="S204" s="24"/>
      <c r="T204" s="24"/>
      <c r="U204" s="24"/>
      <c r="V204" s="27"/>
    </row>
    <row r="205" spans="1:22" x14ac:dyDescent="0.35">
      <c r="A205" s="28">
        <v>45508</v>
      </c>
      <c r="B205" s="28" t="s">
        <v>40</v>
      </c>
      <c r="C205" s="29" t="s">
        <v>17</v>
      </c>
      <c r="D205" s="29" t="s">
        <v>53</v>
      </c>
      <c r="E205" s="29" t="s">
        <v>27</v>
      </c>
      <c r="F205" s="29" t="s">
        <v>46</v>
      </c>
      <c r="G205" s="29" t="s">
        <v>26</v>
      </c>
      <c r="H205" s="29" t="s">
        <v>32</v>
      </c>
      <c r="I205" s="29" t="s">
        <v>16</v>
      </c>
      <c r="J205" s="30">
        <v>137</v>
      </c>
      <c r="K205" s="29">
        <v>37</v>
      </c>
      <c r="L205" s="29">
        <v>5069</v>
      </c>
      <c r="M205" s="29">
        <v>4789</v>
      </c>
      <c r="N205" s="29">
        <v>280</v>
      </c>
      <c r="O205" s="29">
        <f t="shared" si="3"/>
        <v>2024</v>
      </c>
      <c r="P205" s="29"/>
      <c r="Q205" s="29"/>
      <c r="R205" s="29"/>
      <c r="S205" s="29"/>
      <c r="T205" s="29"/>
      <c r="U205" s="29"/>
      <c r="V205" s="32"/>
    </row>
    <row r="206" spans="1:22" x14ac:dyDescent="0.35">
      <c r="A206" s="23">
        <v>45509</v>
      </c>
      <c r="B206" s="23" t="s">
        <v>40</v>
      </c>
      <c r="C206" s="24" t="s">
        <v>17</v>
      </c>
      <c r="D206" s="24" t="s">
        <v>55</v>
      </c>
      <c r="E206" s="24" t="s">
        <v>29</v>
      </c>
      <c r="F206" s="24" t="s">
        <v>43</v>
      </c>
      <c r="G206" s="24" t="s">
        <v>11</v>
      </c>
      <c r="H206" s="24" t="s">
        <v>35</v>
      </c>
      <c r="I206" s="24" t="s">
        <v>24</v>
      </c>
      <c r="J206" s="25">
        <v>121</v>
      </c>
      <c r="K206" s="24">
        <v>34</v>
      </c>
      <c r="L206" s="24">
        <v>4114</v>
      </c>
      <c r="M206" s="24">
        <v>3259</v>
      </c>
      <c r="N206" s="24">
        <v>855</v>
      </c>
      <c r="O206" s="24">
        <f t="shared" si="3"/>
        <v>2024</v>
      </c>
      <c r="P206" s="24"/>
      <c r="Q206" s="24"/>
      <c r="R206" s="24"/>
      <c r="S206" s="24"/>
      <c r="T206" s="24"/>
      <c r="U206" s="24"/>
      <c r="V206" s="27"/>
    </row>
    <row r="207" spans="1:22" x14ac:dyDescent="0.35">
      <c r="A207" s="28">
        <v>45510</v>
      </c>
      <c r="B207" s="28" t="s">
        <v>40</v>
      </c>
      <c r="C207" s="29" t="s">
        <v>17</v>
      </c>
      <c r="D207" s="29" t="s">
        <v>48</v>
      </c>
      <c r="E207" s="29" t="s">
        <v>10</v>
      </c>
      <c r="F207" s="29" t="s">
        <v>43</v>
      </c>
      <c r="G207" s="29" t="s">
        <v>11</v>
      </c>
      <c r="H207" s="29" t="s">
        <v>35</v>
      </c>
      <c r="I207" s="29" t="s">
        <v>24</v>
      </c>
      <c r="J207" s="30">
        <v>155</v>
      </c>
      <c r="K207" s="29">
        <v>98</v>
      </c>
      <c r="L207" s="29">
        <v>15190</v>
      </c>
      <c r="M207" s="29">
        <v>14370</v>
      </c>
      <c r="N207" s="29">
        <v>820</v>
      </c>
      <c r="O207" s="29">
        <f t="shared" si="3"/>
        <v>2024</v>
      </c>
      <c r="P207" s="29"/>
      <c r="Q207" s="29"/>
      <c r="R207" s="29"/>
      <c r="S207" s="29"/>
      <c r="T207" s="29"/>
      <c r="U207" s="29"/>
      <c r="V207" s="32"/>
    </row>
    <row r="208" spans="1:22" x14ac:dyDescent="0.35">
      <c r="A208" s="23">
        <v>45511</v>
      </c>
      <c r="B208" s="23" t="s">
        <v>38</v>
      </c>
      <c r="C208" s="24" t="s">
        <v>9</v>
      </c>
      <c r="D208" s="24" t="s">
        <v>49</v>
      </c>
      <c r="E208" s="24" t="s">
        <v>14</v>
      </c>
      <c r="F208" s="24" t="s">
        <v>44</v>
      </c>
      <c r="G208" s="24" t="s">
        <v>15</v>
      </c>
      <c r="H208" s="24" t="s">
        <v>32</v>
      </c>
      <c r="I208" s="24" t="s">
        <v>16</v>
      </c>
      <c r="J208" s="25">
        <v>28</v>
      </c>
      <c r="K208" s="24">
        <v>86</v>
      </c>
      <c r="L208" s="24">
        <v>2408</v>
      </c>
      <c r="M208" s="24">
        <v>1902</v>
      </c>
      <c r="N208" s="24">
        <v>506</v>
      </c>
      <c r="O208" s="24">
        <f t="shared" si="3"/>
        <v>2024</v>
      </c>
      <c r="P208" s="24"/>
      <c r="Q208" s="24"/>
      <c r="R208" s="24"/>
      <c r="S208" s="24"/>
      <c r="T208" s="24"/>
      <c r="U208" s="24"/>
      <c r="V208" s="27"/>
    </row>
    <row r="209" spans="1:22" x14ac:dyDescent="0.35">
      <c r="A209" s="28">
        <v>45512</v>
      </c>
      <c r="B209" s="28" t="s">
        <v>40</v>
      </c>
      <c r="C209" s="29" t="s">
        <v>17</v>
      </c>
      <c r="D209" s="29" t="s">
        <v>50</v>
      </c>
      <c r="E209" s="29" t="s">
        <v>18</v>
      </c>
      <c r="F209" s="29" t="s">
        <v>44</v>
      </c>
      <c r="G209" s="29" t="s">
        <v>15</v>
      </c>
      <c r="H209" s="29" t="s">
        <v>35</v>
      </c>
      <c r="I209" s="29" t="s">
        <v>24</v>
      </c>
      <c r="J209" s="30">
        <v>65</v>
      </c>
      <c r="K209" s="29">
        <v>38</v>
      </c>
      <c r="L209" s="29">
        <v>2470</v>
      </c>
      <c r="M209" s="29">
        <v>1555</v>
      </c>
      <c r="N209" s="29">
        <v>915</v>
      </c>
      <c r="O209" s="29">
        <f t="shared" si="3"/>
        <v>2024</v>
      </c>
      <c r="P209" s="29"/>
      <c r="Q209" s="29"/>
      <c r="R209" s="29"/>
      <c r="S209" s="29"/>
      <c r="T209" s="29"/>
      <c r="U209" s="29"/>
      <c r="V209" s="32"/>
    </row>
    <row r="210" spans="1:22" x14ac:dyDescent="0.35">
      <c r="A210" s="23">
        <v>45513</v>
      </c>
      <c r="B210" s="23" t="s">
        <v>41</v>
      </c>
      <c r="C210" s="24" t="s">
        <v>23</v>
      </c>
      <c r="D210" s="24" t="s">
        <v>49</v>
      </c>
      <c r="E210" s="24" t="s">
        <v>14</v>
      </c>
      <c r="F210" s="24" t="s">
        <v>44</v>
      </c>
      <c r="G210" s="24" t="s">
        <v>15</v>
      </c>
      <c r="H210" s="24" t="s">
        <v>32</v>
      </c>
      <c r="I210" s="24" t="s">
        <v>16</v>
      </c>
      <c r="J210" s="25">
        <v>84</v>
      </c>
      <c r="K210" s="24">
        <v>38</v>
      </c>
      <c r="L210" s="24">
        <v>3192</v>
      </c>
      <c r="M210" s="24">
        <v>2323</v>
      </c>
      <c r="N210" s="24">
        <v>869</v>
      </c>
      <c r="O210" s="24">
        <f t="shared" si="3"/>
        <v>2024</v>
      </c>
      <c r="P210" s="24"/>
      <c r="Q210" s="24"/>
      <c r="R210" s="24"/>
      <c r="S210" s="24"/>
      <c r="T210" s="24"/>
      <c r="U210" s="24"/>
      <c r="V210" s="27"/>
    </row>
    <row r="211" spans="1:22" x14ac:dyDescent="0.35">
      <c r="A211" s="28">
        <v>45514</v>
      </c>
      <c r="B211" s="28" t="s">
        <v>40</v>
      </c>
      <c r="C211" s="29" t="s">
        <v>17</v>
      </c>
      <c r="D211" s="29" t="s">
        <v>55</v>
      </c>
      <c r="E211" s="29" t="s">
        <v>29</v>
      </c>
      <c r="F211" s="29" t="s">
        <v>43</v>
      </c>
      <c r="G211" s="29" t="s">
        <v>11</v>
      </c>
      <c r="H211" s="29" t="s">
        <v>34</v>
      </c>
      <c r="I211" s="29" t="s">
        <v>22</v>
      </c>
      <c r="J211" s="30">
        <v>75</v>
      </c>
      <c r="K211" s="29">
        <v>80</v>
      </c>
      <c r="L211" s="29">
        <v>6000</v>
      </c>
      <c r="M211" s="29">
        <v>5700</v>
      </c>
      <c r="N211" s="29">
        <v>300</v>
      </c>
      <c r="O211" s="29">
        <f t="shared" si="3"/>
        <v>2024</v>
      </c>
      <c r="P211" s="29"/>
      <c r="Q211" s="29"/>
      <c r="R211" s="29"/>
      <c r="S211" s="29"/>
      <c r="T211" s="29"/>
      <c r="U211" s="29"/>
      <c r="V211" s="32"/>
    </row>
    <row r="212" spans="1:22" x14ac:dyDescent="0.35">
      <c r="A212" s="23">
        <v>45515</v>
      </c>
      <c r="B212" s="23" t="s">
        <v>41</v>
      </c>
      <c r="C212" s="24" t="s">
        <v>23</v>
      </c>
      <c r="D212" s="24" t="s">
        <v>48</v>
      </c>
      <c r="E212" s="24" t="s">
        <v>10</v>
      </c>
      <c r="F212" s="24" t="s">
        <v>43</v>
      </c>
      <c r="G212" s="24" t="s">
        <v>11</v>
      </c>
      <c r="H212" s="24" t="s">
        <v>31</v>
      </c>
      <c r="I212" s="24" t="s">
        <v>12</v>
      </c>
      <c r="J212" s="25">
        <v>118</v>
      </c>
      <c r="K212" s="24">
        <v>100</v>
      </c>
      <c r="L212" s="24">
        <v>11800</v>
      </c>
      <c r="M212" s="24">
        <v>11613</v>
      </c>
      <c r="N212" s="24">
        <v>187</v>
      </c>
      <c r="O212" s="24">
        <f t="shared" si="3"/>
        <v>2024</v>
      </c>
      <c r="P212" s="24"/>
      <c r="Q212" s="24"/>
      <c r="R212" s="24"/>
      <c r="S212" s="24"/>
      <c r="T212" s="24"/>
      <c r="U212" s="24"/>
      <c r="V212" s="27"/>
    </row>
    <row r="213" spans="1:22" x14ac:dyDescent="0.35">
      <c r="A213" s="28">
        <v>45516</v>
      </c>
      <c r="B213" s="28" t="s">
        <v>38</v>
      </c>
      <c r="C213" s="29" t="s">
        <v>9</v>
      </c>
      <c r="D213" s="29" t="s">
        <v>52</v>
      </c>
      <c r="E213" s="29" t="s">
        <v>25</v>
      </c>
      <c r="F213" s="29" t="s">
        <v>46</v>
      </c>
      <c r="G213" s="29" t="s">
        <v>26</v>
      </c>
      <c r="H213" s="29" t="s">
        <v>31</v>
      </c>
      <c r="I213" s="29" t="s">
        <v>12</v>
      </c>
      <c r="J213" s="30">
        <v>91</v>
      </c>
      <c r="K213" s="29">
        <v>100</v>
      </c>
      <c r="L213" s="29">
        <v>9100</v>
      </c>
      <c r="M213" s="29">
        <v>8308</v>
      </c>
      <c r="N213" s="29">
        <v>792</v>
      </c>
      <c r="O213" s="29">
        <f t="shared" si="3"/>
        <v>2024</v>
      </c>
      <c r="P213" s="29"/>
      <c r="Q213" s="29"/>
      <c r="R213" s="29"/>
      <c r="S213" s="29"/>
      <c r="T213" s="29"/>
      <c r="U213" s="29"/>
      <c r="V213" s="32"/>
    </row>
    <row r="214" spans="1:22" x14ac:dyDescent="0.35">
      <c r="A214" s="23">
        <v>45517</v>
      </c>
      <c r="B214" s="23" t="s">
        <v>41</v>
      </c>
      <c r="C214" s="24" t="s">
        <v>23</v>
      </c>
      <c r="D214" s="24" t="s">
        <v>48</v>
      </c>
      <c r="E214" s="24" t="s">
        <v>10</v>
      </c>
      <c r="F214" s="24" t="s">
        <v>43</v>
      </c>
      <c r="G214" s="24" t="s">
        <v>11</v>
      </c>
      <c r="H214" s="24" t="s">
        <v>35</v>
      </c>
      <c r="I214" s="24" t="s">
        <v>24</v>
      </c>
      <c r="J214" s="25">
        <v>34</v>
      </c>
      <c r="K214" s="24">
        <v>99</v>
      </c>
      <c r="L214" s="24">
        <v>3366</v>
      </c>
      <c r="M214" s="24">
        <v>2746</v>
      </c>
      <c r="N214" s="24">
        <v>620</v>
      </c>
      <c r="O214" s="24">
        <f t="shared" si="3"/>
        <v>2024</v>
      </c>
      <c r="P214" s="24"/>
      <c r="Q214" s="24"/>
      <c r="R214" s="24"/>
      <c r="S214" s="24"/>
      <c r="T214" s="24"/>
      <c r="U214" s="24"/>
      <c r="V214" s="27"/>
    </row>
    <row r="215" spans="1:22" x14ac:dyDescent="0.35">
      <c r="A215" s="28">
        <v>45518</v>
      </c>
      <c r="B215" s="28" t="s">
        <v>40</v>
      </c>
      <c r="C215" s="29" t="s">
        <v>17</v>
      </c>
      <c r="D215" s="29" t="s">
        <v>53</v>
      </c>
      <c r="E215" s="29" t="s">
        <v>27</v>
      </c>
      <c r="F215" s="29" t="s">
        <v>46</v>
      </c>
      <c r="G215" s="29" t="s">
        <v>26</v>
      </c>
      <c r="H215" s="29" t="s">
        <v>32</v>
      </c>
      <c r="I215" s="29" t="s">
        <v>16</v>
      </c>
      <c r="J215" s="30">
        <v>94</v>
      </c>
      <c r="K215" s="29">
        <v>53</v>
      </c>
      <c r="L215" s="29">
        <v>4982</v>
      </c>
      <c r="M215" s="29">
        <v>4071</v>
      </c>
      <c r="N215" s="29">
        <v>911</v>
      </c>
      <c r="O215" s="29">
        <f t="shared" si="3"/>
        <v>2024</v>
      </c>
      <c r="P215" s="29"/>
      <c r="Q215" s="29"/>
      <c r="R215" s="29"/>
      <c r="S215" s="29"/>
      <c r="T215" s="29"/>
      <c r="U215" s="29"/>
      <c r="V215" s="32"/>
    </row>
    <row r="216" spans="1:22" x14ac:dyDescent="0.35">
      <c r="A216" s="23">
        <v>45519</v>
      </c>
      <c r="B216" s="23" t="s">
        <v>38</v>
      </c>
      <c r="C216" s="24" t="s">
        <v>9</v>
      </c>
      <c r="D216" s="24" t="s">
        <v>51</v>
      </c>
      <c r="E216" s="24" t="s">
        <v>20</v>
      </c>
      <c r="F216" s="24" t="s">
        <v>45</v>
      </c>
      <c r="G216" s="24" t="s">
        <v>21</v>
      </c>
      <c r="H216" s="24" t="s">
        <v>34</v>
      </c>
      <c r="I216" s="24" t="s">
        <v>22</v>
      </c>
      <c r="J216" s="25">
        <v>176</v>
      </c>
      <c r="K216" s="24">
        <v>77</v>
      </c>
      <c r="L216" s="24">
        <v>13552</v>
      </c>
      <c r="M216" s="24">
        <v>12888</v>
      </c>
      <c r="N216" s="24">
        <v>664</v>
      </c>
      <c r="O216" s="24">
        <f t="shared" si="3"/>
        <v>2024</v>
      </c>
      <c r="P216" s="24"/>
      <c r="Q216" s="24"/>
      <c r="R216" s="24"/>
      <c r="S216" s="24"/>
      <c r="T216" s="24"/>
      <c r="U216" s="24"/>
      <c r="V216" s="27"/>
    </row>
    <row r="217" spans="1:22" x14ac:dyDescent="0.35">
      <c r="A217" s="28">
        <v>45520</v>
      </c>
      <c r="B217" s="28" t="s">
        <v>40</v>
      </c>
      <c r="C217" s="29" t="s">
        <v>17</v>
      </c>
      <c r="D217" s="29" t="s">
        <v>51</v>
      </c>
      <c r="E217" s="29" t="s">
        <v>20</v>
      </c>
      <c r="F217" s="29" t="s">
        <v>45</v>
      </c>
      <c r="G217" s="29" t="s">
        <v>21</v>
      </c>
      <c r="H217" s="29" t="s">
        <v>33</v>
      </c>
      <c r="I217" s="29" t="s">
        <v>19</v>
      </c>
      <c r="J217" s="30">
        <v>138</v>
      </c>
      <c r="K217" s="29">
        <v>37</v>
      </c>
      <c r="L217" s="29">
        <v>5106</v>
      </c>
      <c r="M217" s="29">
        <v>4599</v>
      </c>
      <c r="N217" s="29">
        <v>507</v>
      </c>
      <c r="O217" s="29">
        <f t="shared" si="3"/>
        <v>2024</v>
      </c>
      <c r="P217" s="29"/>
      <c r="Q217" s="29"/>
      <c r="R217" s="29"/>
      <c r="S217" s="29"/>
      <c r="T217" s="29"/>
      <c r="U217" s="29"/>
      <c r="V217" s="32"/>
    </row>
    <row r="218" spans="1:22" x14ac:dyDescent="0.35">
      <c r="A218" s="23">
        <v>45521</v>
      </c>
      <c r="B218" s="23" t="s">
        <v>38</v>
      </c>
      <c r="C218" s="24" t="s">
        <v>9</v>
      </c>
      <c r="D218" s="24" t="s">
        <v>48</v>
      </c>
      <c r="E218" s="24" t="s">
        <v>10</v>
      </c>
      <c r="F218" s="24" t="s">
        <v>43</v>
      </c>
      <c r="G218" s="24" t="s">
        <v>11</v>
      </c>
      <c r="H218" s="24" t="s">
        <v>33</v>
      </c>
      <c r="I218" s="24" t="s">
        <v>19</v>
      </c>
      <c r="J218" s="25">
        <v>171</v>
      </c>
      <c r="K218" s="24">
        <v>100</v>
      </c>
      <c r="L218" s="24">
        <v>17100</v>
      </c>
      <c r="M218" s="24">
        <v>16459</v>
      </c>
      <c r="N218" s="24">
        <v>641</v>
      </c>
      <c r="O218" s="24">
        <f t="shared" si="3"/>
        <v>2024</v>
      </c>
      <c r="P218" s="24"/>
      <c r="Q218" s="24"/>
      <c r="R218" s="24"/>
      <c r="S218" s="24"/>
      <c r="T218" s="24"/>
      <c r="U218" s="24"/>
      <c r="V218" s="27"/>
    </row>
    <row r="219" spans="1:22" x14ac:dyDescent="0.35">
      <c r="A219" s="28">
        <v>45522</v>
      </c>
      <c r="B219" s="28" t="s">
        <v>39</v>
      </c>
      <c r="C219" s="29" t="s">
        <v>13</v>
      </c>
      <c r="D219" s="29" t="s">
        <v>55</v>
      </c>
      <c r="E219" s="29" t="s">
        <v>29</v>
      </c>
      <c r="F219" s="29" t="s">
        <v>43</v>
      </c>
      <c r="G219" s="29" t="s">
        <v>11</v>
      </c>
      <c r="H219" s="29" t="s">
        <v>31</v>
      </c>
      <c r="I219" s="29" t="s">
        <v>12</v>
      </c>
      <c r="J219" s="30">
        <v>122</v>
      </c>
      <c r="K219" s="29">
        <v>53</v>
      </c>
      <c r="L219" s="29">
        <v>6466</v>
      </c>
      <c r="M219" s="29">
        <v>5708</v>
      </c>
      <c r="N219" s="29">
        <v>758</v>
      </c>
      <c r="O219" s="29">
        <f t="shared" si="3"/>
        <v>2024</v>
      </c>
      <c r="P219" s="29"/>
      <c r="Q219" s="29"/>
      <c r="R219" s="29"/>
      <c r="S219" s="29"/>
      <c r="T219" s="29"/>
      <c r="U219" s="29"/>
      <c r="V219" s="32"/>
    </row>
    <row r="220" spans="1:22" x14ac:dyDescent="0.35">
      <c r="A220" s="23">
        <v>45523</v>
      </c>
      <c r="B220" s="23" t="s">
        <v>39</v>
      </c>
      <c r="C220" s="24" t="s">
        <v>13</v>
      </c>
      <c r="D220" s="24" t="s">
        <v>51</v>
      </c>
      <c r="E220" s="24" t="s">
        <v>20</v>
      </c>
      <c r="F220" s="24" t="s">
        <v>45</v>
      </c>
      <c r="G220" s="24" t="s">
        <v>21</v>
      </c>
      <c r="H220" s="24" t="s">
        <v>34</v>
      </c>
      <c r="I220" s="24" t="s">
        <v>22</v>
      </c>
      <c r="J220" s="25">
        <v>122</v>
      </c>
      <c r="K220" s="24">
        <v>49</v>
      </c>
      <c r="L220" s="24">
        <v>5978</v>
      </c>
      <c r="M220" s="24">
        <v>5187</v>
      </c>
      <c r="N220" s="24">
        <v>791</v>
      </c>
      <c r="O220" s="24">
        <f t="shared" si="3"/>
        <v>2024</v>
      </c>
      <c r="P220" s="24"/>
      <c r="Q220" s="24"/>
      <c r="R220" s="24"/>
      <c r="S220" s="24"/>
      <c r="T220" s="24"/>
      <c r="U220" s="24"/>
      <c r="V220" s="27"/>
    </row>
    <row r="221" spans="1:22" x14ac:dyDescent="0.35">
      <c r="A221" s="28">
        <v>45524</v>
      </c>
      <c r="B221" s="28" t="s">
        <v>40</v>
      </c>
      <c r="C221" s="29" t="s">
        <v>17</v>
      </c>
      <c r="D221" s="29" t="s">
        <v>50</v>
      </c>
      <c r="E221" s="29" t="s">
        <v>18</v>
      </c>
      <c r="F221" s="29" t="s">
        <v>44</v>
      </c>
      <c r="G221" s="29" t="s">
        <v>15</v>
      </c>
      <c r="H221" s="29" t="s">
        <v>32</v>
      </c>
      <c r="I221" s="29" t="s">
        <v>16</v>
      </c>
      <c r="J221" s="30">
        <v>69</v>
      </c>
      <c r="K221" s="29">
        <v>38</v>
      </c>
      <c r="L221" s="29">
        <v>2622</v>
      </c>
      <c r="M221" s="29">
        <v>2187</v>
      </c>
      <c r="N221" s="29">
        <v>435</v>
      </c>
      <c r="O221" s="29">
        <f t="shared" si="3"/>
        <v>2024</v>
      </c>
      <c r="P221" s="29"/>
      <c r="Q221" s="29"/>
      <c r="R221" s="29"/>
      <c r="S221" s="29"/>
      <c r="T221" s="29"/>
      <c r="U221" s="29"/>
      <c r="V221" s="32"/>
    </row>
    <row r="222" spans="1:22" x14ac:dyDescent="0.35">
      <c r="A222" s="23">
        <v>45525</v>
      </c>
      <c r="B222" s="23" t="s">
        <v>39</v>
      </c>
      <c r="C222" s="24" t="s">
        <v>13</v>
      </c>
      <c r="D222" s="24" t="s">
        <v>52</v>
      </c>
      <c r="E222" s="24" t="s">
        <v>25</v>
      </c>
      <c r="F222" s="24" t="s">
        <v>46</v>
      </c>
      <c r="G222" s="24" t="s">
        <v>26</v>
      </c>
      <c r="H222" s="24" t="s">
        <v>35</v>
      </c>
      <c r="I222" s="24" t="s">
        <v>24</v>
      </c>
      <c r="J222" s="25">
        <v>41</v>
      </c>
      <c r="K222" s="24">
        <v>49</v>
      </c>
      <c r="L222" s="24">
        <v>2009</v>
      </c>
      <c r="M222" s="24">
        <v>1546</v>
      </c>
      <c r="N222" s="24">
        <v>463</v>
      </c>
      <c r="O222" s="24">
        <f t="shared" si="3"/>
        <v>2024</v>
      </c>
      <c r="P222" s="24"/>
      <c r="Q222" s="24"/>
      <c r="R222" s="24"/>
      <c r="S222" s="24"/>
      <c r="T222" s="24"/>
      <c r="U222" s="24"/>
      <c r="V222" s="27"/>
    </row>
    <row r="223" spans="1:22" x14ac:dyDescent="0.35">
      <c r="A223" s="28">
        <v>45526</v>
      </c>
      <c r="B223" s="28" t="s">
        <v>39</v>
      </c>
      <c r="C223" s="29" t="s">
        <v>13</v>
      </c>
      <c r="D223" s="29" t="s">
        <v>54</v>
      </c>
      <c r="E223" s="29" t="s">
        <v>28</v>
      </c>
      <c r="F223" s="29" t="s">
        <v>45</v>
      </c>
      <c r="G223" s="29" t="s">
        <v>21</v>
      </c>
      <c r="H223" s="29" t="s">
        <v>32</v>
      </c>
      <c r="I223" s="29" t="s">
        <v>16</v>
      </c>
      <c r="J223" s="30">
        <v>186</v>
      </c>
      <c r="K223" s="29">
        <v>67</v>
      </c>
      <c r="L223" s="29">
        <v>12462</v>
      </c>
      <c r="M223" s="29">
        <v>11990</v>
      </c>
      <c r="N223" s="29">
        <v>472</v>
      </c>
      <c r="O223" s="29">
        <f t="shared" si="3"/>
        <v>2024</v>
      </c>
      <c r="P223" s="29"/>
      <c r="Q223" s="29"/>
      <c r="R223" s="29"/>
      <c r="S223" s="29"/>
      <c r="T223" s="29"/>
      <c r="U223" s="29"/>
      <c r="V223" s="32"/>
    </row>
    <row r="224" spans="1:22" x14ac:dyDescent="0.35">
      <c r="A224" s="23">
        <v>45527</v>
      </c>
      <c r="B224" s="23" t="s">
        <v>41</v>
      </c>
      <c r="C224" s="24" t="s">
        <v>23</v>
      </c>
      <c r="D224" s="24" t="s">
        <v>55</v>
      </c>
      <c r="E224" s="24" t="s">
        <v>29</v>
      </c>
      <c r="F224" s="24" t="s">
        <v>43</v>
      </c>
      <c r="G224" s="24" t="s">
        <v>11</v>
      </c>
      <c r="H224" s="24" t="s">
        <v>34</v>
      </c>
      <c r="I224" s="24" t="s">
        <v>22</v>
      </c>
      <c r="J224" s="25">
        <v>122</v>
      </c>
      <c r="K224" s="24">
        <v>34</v>
      </c>
      <c r="L224" s="24">
        <v>4148</v>
      </c>
      <c r="M224" s="24">
        <v>3814</v>
      </c>
      <c r="N224" s="24">
        <v>334</v>
      </c>
      <c r="O224" s="24">
        <f t="shared" si="3"/>
        <v>2024</v>
      </c>
      <c r="P224" s="24"/>
      <c r="Q224" s="24"/>
      <c r="R224" s="24"/>
      <c r="S224" s="24"/>
      <c r="T224" s="24"/>
      <c r="U224" s="24"/>
      <c r="V224" s="27"/>
    </row>
    <row r="225" spans="1:22" x14ac:dyDescent="0.35">
      <c r="A225" s="28">
        <v>45528</v>
      </c>
      <c r="B225" s="28" t="s">
        <v>39</v>
      </c>
      <c r="C225" s="29" t="s">
        <v>13</v>
      </c>
      <c r="D225" s="29" t="s">
        <v>50</v>
      </c>
      <c r="E225" s="29" t="s">
        <v>18</v>
      </c>
      <c r="F225" s="29" t="s">
        <v>44</v>
      </c>
      <c r="G225" s="29" t="s">
        <v>15</v>
      </c>
      <c r="H225" s="29" t="s">
        <v>35</v>
      </c>
      <c r="I225" s="29" t="s">
        <v>24</v>
      </c>
      <c r="J225" s="30">
        <v>174</v>
      </c>
      <c r="K225" s="29">
        <v>99</v>
      </c>
      <c r="L225" s="29">
        <v>17226</v>
      </c>
      <c r="M225" s="29">
        <v>16296</v>
      </c>
      <c r="N225" s="29">
        <v>930</v>
      </c>
      <c r="O225" s="29">
        <f t="shared" si="3"/>
        <v>2024</v>
      </c>
      <c r="P225" s="29"/>
      <c r="Q225" s="29"/>
      <c r="R225" s="29"/>
      <c r="S225" s="29"/>
      <c r="T225" s="29"/>
      <c r="U225" s="29"/>
      <c r="V225" s="32"/>
    </row>
    <row r="226" spans="1:22" x14ac:dyDescent="0.35">
      <c r="A226" s="23">
        <v>45529</v>
      </c>
      <c r="B226" s="23" t="s">
        <v>38</v>
      </c>
      <c r="C226" s="24" t="s">
        <v>9</v>
      </c>
      <c r="D226" s="24" t="s">
        <v>53</v>
      </c>
      <c r="E226" s="24" t="s">
        <v>27</v>
      </c>
      <c r="F226" s="24" t="s">
        <v>46</v>
      </c>
      <c r="G226" s="24" t="s">
        <v>26</v>
      </c>
      <c r="H226" s="24" t="s">
        <v>32</v>
      </c>
      <c r="I226" s="24" t="s">
        <v>16</v>
      </c>
      <c r="J226" s="25">
        <v>158</v>
      </c>
      <c r="K226" s="24">
        <v>64</v>
      </c>
      <c r="L226" s="24">
        <v>10112</v>
      </c>
      <c r="M226" s="24">
        <v>9880</v>
      </c>
      <c r="N226" s="24">
        <v>232</v>
      </c>
      <c r="O226" s="24">
        <f t="shared" si="3"/>
        <v>2024</v>
      </c>
      <c r="P226" s="24"/>
      <c r="Q226" s="24"/>
      <c r="R226" s="24"/>
      <c r="S226" s="24"/>
      <c r="T226" s="24"/>
      <c r="U226" s="24"/>
      <c r="V226" s="27"/>
    </row>
    <row r="227" spans="1:22" x14ac:dyDescent="0.35">
      <c r="A227" s="28">
        <v>45530</v>
      </c>
      <c r="B227" s="28" t="s">
        <v>40</v>
      </c>
      <c r="C227" s="29" t="s">
        <v>17</v>
      </c>
      <c r="D227" s="29" t="s">
        <v>49</v>
      </c>
      <c r="E227" s="29" t="s">
        <v>14</v>
      </c>
      <c r="F227" s="29" t="s">
        <v>44</v>
      </c>
      <c r="G227" s="29" t="s">
        <v>15</v>
      </c>
      <c r="H227" s="29" t="s">
        <v>32</v>
      </c>
      <c r="I227" s="29" t="s">
        <v>16</v>
      </c>
      <c r="J227" s="30">
        <v>64</v>
      </c>
      <c r="K227" s="29">
        <v>94</v>
      </c>
      <c r="L227" s="29">
        <v>6016</v>
      </c>
      <c r="M227" s="29">
        <v>5584</v>
      </c>
      <c r="N227" s="29">
        <v>432</v>
      </c>
      <c r="O227" s="29">
        <f t="shared" si="3"/>
        <v>2024</v>
      </c>
      <c r="P227" s="29"/>
      <c r="Q227" s="29"/>
      <c r="R227" s="29"/>
      <c r="S227" s="29"/>
      <c r="T227" s="29"/>
      <c r="U227" s="29"/>
      <c r="V227" s="32"/>
    </row>
    <row r="228" spans="1:22" x14ac:dyDescent="0.35">
      <c r="A228" s="23">
        <v>45531</v>
      </c>
      <c r="B228" s="23" t="s">
        <v>41</v>
      </c>
      <c r="C228" s="24" t="s">
        <v>23</v>
      </c>
      <c r="D228" s="24" t="s">
        <v>49</v>
      </c>
      <c r="E228" s="24" t="s">
        <v>14</v>
      </c>
      <c r="F228" s="24" t="s">
        <v>44</v>
      </c>
      <c r="G228" s="24" t="s">
        <v>15</v>
      </c>
      <c r="H228" s="24" t="s">
        <v>31</v>
      </c>
      <c r="I228" s="24" t="s">
        <v>12</v>
      </c>
      <c r="J228" s="25">
        <v>179</v>
      </c>
      <c r="K228" s="24">
        <v>47</v>
      </c>
      <c r="L228" s="24">
        <v>8413</v>
      </c>
      <c r="M228" s="24">
        <v>8108</v>
      </c>
      <c r="N228" s="24">
        <v>305</v>
      </c>
      <c r="O228" s="24">
        <f t="shared" si="3"/>
        <v>2024</v>
      </c>
      <c r="P228" s="24"/>
      <c r="Q228" s="24"/>
      <c r="R228" s="24"/>
      <c r="S228" s="24"/>
      <c r="T228" s="24"/>
      <c r="U228" s="24"/>
      <c r="V228" s="27"/>
    </row>
    <row r="229" spans="1:22" x14ac:dyDescent="0.35">
      <c r="A229" s="28">
        <v>45532</v>
      </c>
      <c r="B229" s="28" t="s">
        <v>39</v>
      </c>
      <c r="C229" s="29" t="s">
        <v>13</v>
      </c>
      <c r="D229" s="29" t="s">
        <v>54</v>
      </c>
      <c r="E229" s="29" t="s">
        <v>28</v>
      </c>
      <c r="F229" s="29" t="s">
        <v>45</v>
      </c>
      <c r="G229" s="29" t="s">
        <v>21</v>
      </c>
      <c r="H229" s="29" t="s">
        <v>32</v>
      </c>
      <c r="I229" s="29" t="s">
        <v>16</v>
      </c>
      <c r="J229" s="30">
        <v>155</v>
      </c>
      <c r="K229" s="29">
        <v>41</v>
      </c>
      <c r="L229" s="29">
        <v>6355</v>
      </c>
      <c r="M229" s="29">
        <v>5943</v>
      </c>
      <c r="N229" s="29">
        <v>412</v>
      </c>
      <c r="O229" s="29">
        <f t="shared" si="3"/>
        <v>2024</v>
      </c>
      <c r="P229" s="29"/>
      <c r="Q229" s="29"/>
      <c r="R229" s="29"/>
      <c r="S229" s="29"/>
      <c r="T229" s="29"/>
      <c r="U229" s="29"/>
      <c r="V229" s="32"/>
    </row>
    <row r="230" spans="1:22" x14ac:dyDescent="0.35">
      <c r="A230" s="23">
        <v>45533</v>
      </c>
      <c r="B230" s="23" t="s">
        <v>38</v>
      </c>
      <c r="C230" s="24" t="s">
        <v>9</v>
      </c>
      <c r="D230" s="24" t="s">
        <v>50</v>
      </c>
      <c r="E230" s="24" t="s">
        <v>18</v>
      </c>
      <c r="F230" s="24" t="s">
        <v>44</v>
      </c>
      <c r="G230" s="24" t="s">
        <v>15</v>
      </c>
      <c r="H230" s="24" t="s">
        <v>32</v>
      </c>
      <c r="I230" s="24" t="s">
        <v>16</v>
      </c>
      <c r="J230" s="25">
        <v>159</v>
      </c>
      <c r="K230" s="24">
        <v>56</v>
      </c>
      <c r="L230" s="24">
        <v>8904</v>
      </c>
      <c r="M230" s="24">
        <v>8472</v>
      </c>
      <c r="N230" s="24">
        <v>432</v>
      </c>
      <c r="O230" s="24">
        <f t="shared" si="3"/>
        <v>2024</v>
      </c>
      <c r="P230" s="24"/>
      <c r="Q230" s="24"/>
      <c r="R230" s="24"/>
      <c r="S230" s="24"/>
      <c r="T230" s="24"/>
      <c r="U230" s="24"/>
      <c r="V230" s="27"/>
    </row>
    <row r="231" spans="1:22" x14ac:dyDescent="0.35">
      <c r="A231" s="28">
        <v>45534</v>
      </c>
      <c r="B231" s="28" t="s">
        <v>41</v>
      </c>
      <c r="C231" s="29" t="s">
        <v>23</v>
      </c>
      <c r="D231" s="29" t="s">
        <v>55</v>
      </c>
      <c r="E231" s="29" t="s">
        <v>29</v>
      </c>
      <c r="F231" s="29" t="s">
        <v>43</v>
      </c>
      <c r="G231" s="29" t="s">
        <v>11</v>
      </c>
      <c r="H231" s="29" t="s">
        <v>35</v>
      </c>
      <c r="I231" s="29" t="s">
        <v>24</v>
      </c>
      <c r="J231" s="30">
        <v>83</v>
      </c>
      <c r="K231" s="29">
        <v>31</v>
      </c>
      <c r="L231" s="29">
        <v>2573</v>
      </c>
      <c r="M231" s="29">
        <v>2342</v>
      </c>
      <c r="N231" s="29">
        <v>231</v>
      </c>
      <c r="O231" s="29">
        <f t="shared" si="3"/>
        <v>2024</v>
      </c>
      <c r="P231" s="29"/>
      <c r="Q231" s="29"/>
      <c r="R231" s="29"/>
      <c r="S231" s="29"/>
      <c r="T231" s="29"/>
      <c r="U231" s="29"/>
      <c r="V231" s="32"/>
    </row>
    <row r="232" spans="1:22" x14ac:dyDescent="0.35">
      <c r="A232" s="23">
        <v>45535</v>
      </c>
      <c r="B232" s="23" t="s">
        <v>38</v>
      </c>
      <c r="C232" s="24" t="s">
        <v>9</v>
      </c>
      <c r="D232" s="24" t="s">
        <v>50</v>
      </c>
      <c r="E232" s="24" t="s">
        <v>18</v>
      </c>
      <c r="F232" s="24" t="s">
        <v>44</v>
      </c>
      <c r="G232" s="24" t="s">
        <v>15</v>
      </c>
      <c r="H232" s="24" t="s">
        <v>33</v>
      </c>
      <c r="I232" s="24" t="s">
        <v>19</v>
      </c>
      <c r="J232" s="25">
        <v>74</v>
      </c>
      <c r="K232" s="24">
        <v>90</v>
      </c>
      <c r="L232" s="24">
        <v>6660</v>
      </c>
      <c r="M232" s="24">
        <v>6533</v>
      </c>
      <c r="N232" s="24">
        <v>127</v>
      </c>
      <c r="O232" s="24">
        <f t="shared" si="3"/>
        <v>2024</v>
      </c>
      <c r="P232" s="24"/>
      <c r="Q232" s="24"/>
      <c r="R232" s="24"/>
      <c r="S232" s="24"/>
      <c r="T232" s="24"/>
      <c r="U232" s="24"/>
      <c r="V232" s="27"/>
    </row>
    <row r="233" spans="1:22" x14ac:dyDescent="0.35">
      <c r="A233" s="28">
        <v>45536</v>
      </c>
      <c r="B233" s="28" t="s">
        <v>40</v>
      </c>
      <c r="C233" s="29" t="s">
        <v>17</v>
      </c>
      <c r="D233" s="29" t="s">
        <v>54</v>
      </c>
      <c r="E233" s="29" t="s">
        <v>28</v>
      </c>
      <c r="F233" s="29" t="s">
        <v>45</v>
      </c>
      <c r="G233" s="29" t="s">
        <v>21</v>
      </c>
      <c r="H233" s="29" t="s">
        <v>34</v>
      </c>
      <c r="I233" s="29" t="s">
        <v>22</v>
      </c>
      <c r="J233" s="30">
        <v>136</v>
      </c>
      <c r="K233" s="29">
        <v>46</v>
      </c>
      <c r="L233" s="29">
        <v>6256</v>
      </c>
      <c r="M233" s="29">
        <v>5880</v>
      </c>
      <c r="N233" s="29">
        <v>376</v>
      </c>
      <c r="O233" s="29">
        <f t="shared" si="3"/>
        <v>2024</v>
      </c>
      <c r="P233" s="29"/>
      <c r="Q233" s="29"/>
      <c r="R233" s="29"/>
      <c r="S233" s="29"/>
      <c r="T233" s="29"/>
      <c r="U233" s="29"/>
      <c r="V233" s="32"/>
    </row>
    <row r="234" spans="1:22" x14ac:dyDescent="0.35">
      <c r="A234" s="23">
        <v>45537</v>
      </c>
      <c r="B234" s="23" t="s">
        <v>38</v>
      </c>
      <c r="C234" s="24" t="s">
        <v>9</v>
      </c>
      <c r="D234" s="24" t="s">
        <v>54</v>
      </c>
      <c r="E234" s="24" t="s">
        <v>28</v>
      </c>
      <c r="F234" s="24" t="s">
        <v>45</v>
      </c>
      <c r="G234" s="24" t="s">
        <v>21</v>
      </c>
      <c r="H234" s="24" t="s">
        <v>31</v>
      </c>
      <c r="I234" s="24" t="s">
        <v>12</v>
      </c>
      <c r="J234" s="25">
        <v>113</v>
      </c>
      <c r="K234" s="24">
        <v>82</v>
      </c>
      <c r="L234" s="24">
        <v>9266</v>
      </c>
      <c r="M234" s="24">
        <v>8466</v>
      </c>
      <c r="N234" s="24">
        <v>800</v>
      </c>
      <c r="O234" s="24">
        <f t="shared" si="3"/>
        <v>2024</v>
      </c>
      <c r="P234" s="24"/>
      <c r="Q234" s="24"/>
      <c r="R234" s="24"/>
      <c r="S234" s="24"/>
      <c r="T234" s="24"/>
      <c r="U234" s="24"/>
      <c r="V234" s="27"/>
    </row>
    <row r="235" spans="1:22" x14ac:dyDescent="0.35">
      <c r="A235" s="28">
        <v>45538</v>
      </c>
      <c r="B235" s="28" t="s">
        <v>38</v>
      </c>
      <c r="C235" s="29" t="s">
        <v>9</v>
      </c>
      <c r="D235" s="29" t="s">
        <v>50</v>
      </c>
      <c r="E235" s="29" t="s">
        <v>18</v>
      </c>
      <c r="F235" s="29" t="s">
        <v>44</v>
      </c>
      <c r="G235" s="29" t="s">
        <v>15</v>
      </c>
      <c r="H235" s="29" t="s">
        <v>35</v>
      </c>
      <c r="I235" s="29" t="s">
        <v>24</v>
      </c>
      <c r="J235" s="30">
        <v>46</v>
      </c>
      <c r="K235" s="29">
        <v>96</v>
      </c>
      <c r="L235" s="29">
        <v>4416</v>
      </c>
      <c r="M235" s="29">
        <v>3451</v>
      </c>
      <c r="N235" s="29">
        <v>965</v>
      </c>
      <c r="O235" s="29">
        <f t="shared" si="3"/>
        <v>2024</v>
      </c>
      <c r="P235" s="29"/>
      <c r="Q235" s="29"/>
      <c r="R235" s="29"/>
      <c r="S235" s="29"/>
      <c r="T235" s="29"/>
      <c r="U235" s="29"/>
      <c r="V235" s="32"/>
    </row>
    <row r="236" spans="1:22" x14ac:dyDescent="0.35">
      <c r="A236" s="23">
        <v>45539</v>
      </c>
      <c r="B236" s="23" t="s">
        <v>39</v>
      </c>
      <c r="C236" s="24" t="s">
        <v>13</v>
      </c>
      <c r="D236" s="24" t="s">
        <v>50</v>
      </c>
      <c r="E236" s="24" t="s">
        <v>18</v>
      </c>
      <c r="F236" s="24" t="s">
        <v>44</v>
      </c>
      <c r="G236" s="24" t="s">
        <v>15</v>
      </c>
      <c r="H236" s="24" t="s">
        <v>32</v>
      </c>
      <c r="I236" s="24" t="s">
        <v>16</v>
      </c>
      <c r="J236" s="25">
        <v>132</v>
      </c>
      <c r="K236" s="24">
        <v>83</v>
      </c>
      <c r="L236" s="24">
        <v>10956</v>
      </c>
      <c r="M236" s="24">
        <v>10741</v>
      </c>
      <c r="N236" s="24">
        <v>215</v>
      </c>
      <c r="O236" s="24">
        <f t="shared" si="3"/>
        <v>2024</v>
      </c>
      <c r="P236" s="24"/>
      <c r="Q236" s="24"/>
      <c r="R236" s="24"/>
      <c r="S236" s="24"/>
      <c r="T236" s="24"/>
      <c r="U236" s="24"/>
      <c r="V236" s="27"/>
    </row>
    <row r="237" spans="1:22" x14ac:dyDescent="0.35">
      <c r="A237" s="28">
        <v>45540</v>
      </c>
      <c r="B237" s="28" t="s">
        <v>39</v>
      </c>
      <c r="C237" s="29" t="s">
        <v>13</v>
      </c>
      <c r="D237" s="29" t="s">
        <v>50</v>
      </c>
      <c r="E237" s="29" t="s">
        <v>18</v>
      </c>
      <c r="F237" s="29" t="s">
        <v>44</v>
      </c>
      <c r="G237" s="29" t="s">
        <v>15</v>
      </c>
      <c r="H237" s="29" t="s">
        <v>33</v>
      </c>
      <c r="I237" s="29" t="s">
        <v>19</v>
      </c>
      <c r="J237" s="30">
        <v>157</v>
      </c>
      <c r="K237" s="29">
        <v>30</v>
      </c>
      <c r="L237" s="29">
        <v>4710</v>
      </c>
      <c r="M237" s="29">
        <v>3870</v>
      </c>
      <c r="N237" s="29">
        <v>840</v>
      </c>
      <c r="O237" s="29">
        <f t="shared" si="3"/>
        <v>2024</v>
      </c>
      <c r="P237" s="29"/>
      <c r="Q237" s="29"/>
      <c r="R237" s="29"/>
      <c r="S237" s="29"/>
      <c r="T237" s="29"/>
      <c r="U237" s="29"/>
      <c r="V237" s="32"/>
    </row>
    <row r="238" spans="1:22" x14ac:dyDescent="0.35">
      <c r="A238" s="23">
        <v>45541</v>
      </c>
      <c r="B238" s="23" t="s">
        <v>39</v>
      </c>
      <c r="C238" s="24" t="s">
        <v>13</v>
      </c>
      <c r="D238" s="24" t="s">
        <v>54</v>
      </c>
      <c r="E238" s="24" t="s">
        <v>28</v>
      </c>
      <c r="F238" s="24" t="s">
        <v>45</v>
      </c>
      <c r="G238" s="24" t="s">
        <v>21</v>
      </c>
      <c r="H238" s="24" t="s">
        <v>31</v>
      </c>
      <c r="I238" s="24" t="s">
        <v>12</v>
      </c>
      <c r="J238" s="25">
        <v>116</v>
      </c>
      <c r="K238" s="24">
        <v>81</v>
      </c>
      <c r="L238" s="24">
        <v>9396</v>
      </c>
      <c r="M238" s="24">
        <v>9253</v>
      </c>
      <c r="N238" s="24">
        <v>143</v>
      </c>
      <c r="O238" s="24">
        <f t="shared" si="3"/>
        <v>2024</v>
      </c>
      <c r="P238" s="24"/>
      <c r="Q238" s="24"/>
      <c r="R238" s="24"/>
      <c r="S238" s="24"/>
      <c r="T238" s="24"/>
      <c r="U238" s="24"/>
      <c r="V238" s="27"/>
    </row>
    <row r="239" spans="1:22" x14ac:dyDescent="0.35">
      <c r="A239" s="28">
        <v>45542</v>
      </c>
      <c r="B239" s="28" t="s">
        <v>39</v>
      </c>
      <c r="C239" s="29" t="s">
        <v>13</v>
      </c>
      <c r="D239" s="29" t="s">
        <v>51</v>
      </c>
      <c r="E239" s="29" t="s">
        <v>20</v>
      </c>
      <c r="F239" s="29" t="s">
        <v>45</v>
      </c>
      <c r="G239" s="29" t="s">
        <v>21</v>
      </c>
      <c r="H239" s="29" t="s">
        <v>33</v>
      </c>
      <c r="I239" s="29" t="s">
        <v>19</v>
      </c>
      <c r="J239" s="30">
        <v>63</v>
      </c>
      <c r="K239" s="29">
        <v>41</v>
      </c>
      <c r="L239" s="29">
        <v>2583</v>
      </c>
      <c r="M239" s="29">
        <v>1634</v>
      </c>
      <c r="N239" s="29">
        <v>949</v>
      </c>
      <c r="O239" s="29">
        <f t="shared" si="3"/>
        <v>2024</v>
      </c>
      <c r="P239" s="29"/>
      <c r="Q239" s="29"/>
      <c r="R239" s="29"/>
      <c r="S239" s="29"/>
      <c r="T239" s="29"/>
      <c r="U239" s="29"/>
      <c r="V239" s="32"/>
    </row>
    <row r="240" spans="1:22" x14ac:dyDescent="0.35">
      <c r="A240" s="23">
        <v>45543</v>
      </c>
      <c r="B240" s="23" t="s">
        <v>41</v>
      </c>
      <c r="C240" s="24" t="s">
        <v>23</v>
      </c>
      <c r="D240" s="24" t="s">
        <v>51</v>
      </c>
      <c r="E240" s="24" t="s">
        <v>20</v>
      </c>
      <c r="F240" s="24" t="s">
        <v>45</v>
      </c>
      <c r="G240" s="24" t="s">
        <v>21</v>
      </c>
      <c r="H240" s="24" t="s">
        <v>32</v>
      </c>
      <c r="I240" s="24" t="s">
        <v>16</v>
      </c>
      <c r="J240" s="25">
        <v>96</v>
      </c>
      <c r="K240" s="24">
        <v>77</v>
      </c>
      <c r="L240" s="24">
        <v>7392</v>
      </c>
      <c r="M240" s="24">
        <v>6655</v>
      </c>
      <c r="N240" s="24">
        <v>737</v>
      </c>
      <c r="O240" s="24">
        <f t="shared" si="3"/>
        <v>2024</v>
      </c>
      <c r="P240" s="24"/>
      <c r="Q240" s="24"/>
      <c r="R240" s="24"/>
      <c r="S240" s="24"/>
      <c r="T240" s="24"/>
      <c r="U240" s="24"/>
      <c r="V240" s="27"/>
    </row>
    <row r="241" spans="1:22" x14ac:dyDescent="0.35">
      <c r="A241" s="28">
        <v>45544</v>
      </c>
      <c r="B241" s="28" t="s">
        <v>39</v>
      </c>
      <c r="C241" s="29" t="s">
        <v>13</v>
      </c>
      <c r="D241" s="29" t="s">
        <v>50</v>
      </c>
      <c r="E241" s="29" t="s">
        <v>18</v>
      </c>
      <c r="F241" s="29" t="s">
        <v>44</v>
      </c>
      <c r="G241" s="29" t="s">
        <v>15</v>
      </c>
      <c r="H241" s="29" t="s">
        <v>32</v>
      </c>
      <c r="I241" s="29" t="s">
        <v>16</v>
      </c>
      <c r="J241" s="30">
        <v>197</v>
      </c>
      <c r="K241" s="29">
        <v>81</v>
      </c>
      <c r="L241" s="29">
        <v>15957</v>
      </c>
      <c r="M241" s="29">
        <v>15820</v>
      </c>
      <c r="N241" s="29">
        <v>137</v>
      </c>
      <c r="O241" s="29">
        <f t="shared" si="3"/>
        <v>2024</v>
      </c>
      <c r="P241" s="29"/>
      <c r="Q241" s="29"/>
      <c r="R241" s="29"/>
      <c r="S241" s="29"/>
      <c r="T241" s="29"/>
      <c r="U241" s="29"/>
      <c r="V241" s="32"/>
    </row>
    <row r="242" spans="1:22" x14ac:dyDescent="0.35">
      <c r="A242" s="23">
        <v>45545</v>
      </c>
      <c r="B242" s="23" t="s">
        <v>41</v>
      </c>
      <c r="C242" s="24" t="s">
        <v>23</v>
      </c>
      <c r="D242" s="24" t="s">
        <v>51</v>
      </c>
      <c r="E242" s="24" t="s">
        <v>20</v>
      </c>
      <c r="F242" s="24" t="s">
        <v>45</v>
      </c>
      <c r="G242" s="24" t="s">
        <v>21</v>
      </c>
      <c r="H242" s="24" t="s">
        <v>33</v>
      </c>
      <c r="I242" s="24" t="s">
        <v>19</v>
      </c>
      <c r="J242" s="25">
        <v>174</v>
      </c>
      <c r="K242" s="24">
        <v>35</v>
      </c>
      <c r="L242" s="24">
        <v>6090</v>
      </c>
      <c r="M242" s="24">
        <v>5479</v>
      </c>
      <c r="N242" s="24">
        <v>611</v>
      </c>
      <c r="O242" s="24">
        <f t="shared" si="3"/>
        <v>2024</v>
      </c>
      <c r="P242" s="24"/>
      <c r="Q242" s="24"/>
      <c r="R242" s="24"/>
      <c r="S242" s="24"/>
      <c r="T242" s="24"/>
      <c r="U242" s="24"/>
      <c r="V242" s="27"/>
    </row>
    <row r="243" spans="1:22" x14ac:dyDescent="0.35">
      <c r="A243" s="28">
        <v>45546</v>
      </c>
      <c r="B243" s="28" t="s">
        <v>39</v>
      </c>
      <c r="C243" s="29" t="s">
        <v>13</v>
      </c>
      <c r="D243" s="29" t="s">
        <v>55</v>
      </c>
      <c r="E243" s="29" t="s">
        <v>29</v>
      </c>
      <c r="F243" s="29" t="s">
        <v>43</v>
      </c>
      <c r="G243" s="29" t="s">
        <v>11</v>
      </c>
      <c r="H243" s="29" t="s">
        <v>33</v>
      </c>
      <c r="I243" s="29" t="s">
        <v>19</v>
      </c>
      <c r="J243" s="30">
        <v>113</v>
      </c>
      <c r="K243" s="29">
        <v>42</v>
      </c>
      <c r="L243" s="29">
        <v>4746</v>
      </c>
      <c r="M243" s="29">
        <v>4081</v>
      </c>
      <c r="N243" s="29">
        <v>665</v>
      </c>
      <c r="O243" s="29">
        <f t="shared" si="3"/>
        <v>2024</v>
      </c>
      <c r="P243" s="29"/>
      <c r="Q243" s="29"/>
      <c r="R243" s="29"/>
      <c r="S243" s="29"/>
      <c r="T243" s="29"/>
      <c r="U243" s="29"/>
      <c r="V243" s="32"/>
    </row>
    <row r="244" spans="1:22" x14ac:dyDescent="0.35">
      <c r="A244" s="23">
        <v>45547</v>
      </c>
      <c r="B244" s="23" t="s">
        <v>38</v>
      </c>
      <c r="C244" s="24" t="s">
        <v>9</v>
      </c>
      <c r="D244" s="24" t="s">
        <v>48</v>
      </c>
      <c r="E244" s="24" t="s">
        <v>10</v>
      </c>
      <c r="F244" s="24" t="s">
        <v>43</v>
      </c>
      <c r="G244" s="24" t="s">
        <v>11</v>
      </c>
      <c r="H244" s="24" t="s">
        <v>32</v>
      </c>
      <c r="I244" s="24" t="s">
        <v>16</v>
      </c>
      <c r="J244" s="25">
        <v>67</v>
      </c>
      <c r="K244" s="24">
        <v>74</v>
      </c>
      <c r="L244" s="24">
        <v>4958</v>
      </c>
      <c r="M244" s="24">
        <v>4546</v>
      </c>
      <c r="N244" s="24">
        <v>412</v>
      </c>
      <c r="O244" s="24">
        <f t="shared" si="3"/>
        <v>2024</v>
      </c>
      <c r="P244" s="24"/>
      <c r="Q244" s="24"/>
      <c r="R244" s="24"/>
      <c r="S244" s="24"/>
      <c r="T244" s="24"/>
      <c r="U244" s="24"/>
      <c r="V244" s="27"/>
    </row>
    <row r="245" spans="1:22" x14ac:dyDescent="0.35">
      <c r="A245" s="28">
        <v>45548</v>
      </c>
      <c r="B245" s="28" t="s">
        <v>39</v>
      </c>
      <c r="C245" s="29" t="s">
        <v>13</v>
      </c>
      <c r="D245" s="29" t="s">
        <v>48</v>
      </c>
      <c r="E245" s="29" t="s">
        <v>10</v>
      </c>
      <c r="F245" s="29" t="s">
        <v>43</v>
      </c>
      <c r="G245" s="29" t="s">
        <v>11</v>
      </c>
      <c r="H245" s="29" t="s">
        <v>32</v>
      </c>
      <c r="I245" s="29" t="s">
        <v>16</v>
      </c>
      <c r="J245" s="30">
        <v>143</v>
      </c>
      <c r="K245" s="29">
        <v>43</v>
      </c>
      <c r="L245" s="29">
        <v>6149</v>
      </c>
      <c r="M245" s="29">
        <v>5207</v>
      </c>
      <c r="N245" s="29">
        <v>942</v>
      </c>
      <c r="O245" s="29">
        <f t="shared" si="3"/>
        <v>2024</v>
      </c>
      <c r="P245" s="29"/>
      <c r="Q245" s="29"/>
      <c r="R245" s="29"/>
      <c r="S245" s="29"/>
      <c r="T245" s="29"/>
      <c r="U245" s="29"/>
      <c r="V245" s="32"/>
    </row>
    <row r="246" spans="1:22" x14ac:dyDescent="0.35">
      <c r="A246" s="23">
        <v>45549</v>
      </c>
      <c r="B246" s="23" t="s">
        <v>39</v>
      </c>
      <c r="C246" s="24" t="s">
        <v>13</v>
      </c>
      <c r="D246" s="24" t="s">
        <v>55</v>
      </c>
      <c r="E246" s="24" t="s">
        <v>29</v>
      </c>
      <c r="F246" s="24" t="s">
        <v>43</v>
      </c>
      <c r="G246" s="24" t="s">
        <v>11</v>
      </c>
      <c r="H246" s="24" t="s">
        <v>33</v>
      </c>
      <c r="I246" s="24" t="s">
        <v>19</v>
      </c>
      <c r="J246" s="25">
        <v>151</v>
      </c>
      <c r="K246" s="24">
        <v>44</v>
      </c>
      <c r="L246" s="24">
        <v>6644</v>
      </c>
      <c r="M246" s="24">
        <v>5999</v>
      </c>
      <c r="N246" s="24">
        <v>645</v>
      </c>
      <c r="O246" s="24">
        <f t="shared" si="3"/>
        <v>2024</v>
      </c>
      <c r="P246" s="24"/>
      <c r="Q246" s="24"/>
      <c r="R246" s="24"/>
      <c r="S246" s="24"/>
      <c r="T246" s="24"/>
      <c r="U246" s="24"/>
      <c r="V246" s="27"/>
    </row>
    <row r="247" spans="1:22" x14ac:dyDescent="0.35">
      <c r="A247" s="28">
        <v>45550</v>
      </c>
      <c r="B247" s="28" t="s">
        <v>38</v>
      </c>
      <c r="C247" s="29" t="s">
        <v>9</v>
      </c>
      <c r="D247" s="29" t="s">
        <v>49</v>
      </c>
      <c r="E247" s="29" t="s">
        <v>14</v>
      </c>
      <c r="F247" s="29" t="s">
        <v>44</v>
      </c>
      <c r="G247" s="29" t="s">
        <v>15</v>
      </c>
      <c r="H247" s="29" t="s">
        <v>31</v>
      </c>
      <c r="I247" s="29" t="s">
        <v>12</v>
      </c>
      <c r="J247" s="30">
        <v>75</v>
      </c>
      <c r="K247" s="29">
        <v>46</v>
      </c>
      <c r="L247" s="29">
        <v>3450</v>
      </c>
      <c r="M247" s="29">
        <v>2721</v>
      </c>
      <c r="N247" s="29">
        <v>729</v>
      </c>
      <c r="O247" s="29">
        <f t="shared" si="3"/>
        <v>2024</v>
      </c>
      <c r="P247" s="29"/>
      <c r="Q247" s="29"/>
      <c r="R247" s="29"/>
      <c r="S247" s="29"/>
      <c r="T247" s="29"/>
      <c r="U247" s="29"/>
      <c r="V247" s="32"/>
    </row>
    <row r="248" spans="1:22" x14ac:dyDescent="0.35">
      <c r="A248" s="23">
        <v>45551</v>
      </c>
      <c r="B248" s="23" t="s">
        <v>38</v>
      </c>
      <c r="C248" s="24" t="s">
        <v>9</v>
      </c>
      <c r="D248" s="24" t="s">
        <v>50</v>
      </c>
      <c r="E248" s="24" t="s">
        <v>18</v>
      </c>
      <c r="F248" s="24" t="s">
        <v>44</v>
      </c>
      <c r="G248" s="24" t="s">
        <v>15</v>
      </c>
      <c r="H248" s="24" t="s">
        <v>31</v>
      </c>
      <c r="I248" s="24" t="s">
        <v>12</v>
      </c>
      <c r="J248" s="25">
        <v>152</v>
      </c>
      <c r="K248" s="24">
        <v>75</v>
      </c>
      <c r="L248" s="24">
        <v>11400</v>
      </c>
      <c r="M248" s="24">
        <v>10921</v>
      </c>
      <c r="N248" s="24">
        <v>479</v>
      </c>
      <c r="O248" s="24">
        <f t="shared" si="3"/>
        <v>2024</v>
      </c>
      <c r="P248" s="24"/>
      <c r="Q248" s="24"/>
      <c r="R248" s="24"/>
      <c r="S248" s="24"/>
      <c r="T248" s="24"/>
      <c r="U248" s="24"/>
      <c r="V248" s="27"/>
    </row>
    <row r="249" spans="1:22" x14ac:dyDescent="0.35">
      <c r="A249" s="28">
        <v>45552</v>
      </c>
      <c r="B249" s="28" t="s">
        <v>41</v>
      </c>
      <c r="C249" s="29" t="s">
        <v>23</v>
      </c>
      <c r="D249" s="29" t="s">
        <v>52</v>
      </c>
      <c r="E249" s="29" t="s">
        <v>25</v>
      </c>
      <c r="F249" s="29" t="s">
        <v>46</v>
      </c>
      <c r="G249" s="29" t="s">
        <v>26</v>
      </c>
      <c r="H249" s="29" t="s">
        <v>31</v>
      </c>
      <c r="I249" s="29" t="s">
        <v>12</v>
      </c>
      <c r="J249" s="30">
        <v>75</v>
      </c>
      <c r="K249" s="29">
        <v>91</v>
      </c>
      <c r="L249" s="29">
        <v>6825</v>
      </c>
      <c r="M249" s="29">
        <v>6669</v>
      </c>
      <c r="N249" s="29">
        <v>156</v>
      </c>
      <c r="O249" s="29">
        <f t="shared" si="3"/>
        <v>2024</v>
      </c>
      <c r="P249" s="29"/>
      <c r="Q249" s="29"/>
      <c r="R249" s="29"/>
      <c r="S249" s="29"/>
      <c r="T249" s="29"/>
      <c r="U249" s="29"/>
      <c r="V249" s="32"/>
    </row>
    <row r="250" spans="1:22" x14ac:dyDescent="0.35">
      <c r="A250" s="23">
        <v>45553</v>
      </c>
      <c r="B250" s="23" t="s">
        <v>39</v>
      </c>
      <c r="C250" s="24" t="s">
        <v>13</v>
      </c>
      <c r="D250" s="24" t="s">
        <v>52</v>
      </c>
      <c r="E250" s="24" t="s">
        <v>25</v>
      </c>
      <c r="F250" s="24" t="s">
        <v>46</v>
      </c>
      <c r="G250" s="24" t="s">
        <v>26</v>
      </c>
      <c r="H250" s="24" t="s">
        <v>31</v>
      </c>
      <c r="I250" s="24" t="s">
        <v>12</v>
      </c>
      <c r="J250" s="25">
        <v>185</v>
      </c>
      <c r="K250" s="24">
        <v>39</v>
      </c>
      <c r="L250" s="24">
        <v>7215</v>
      </c>
      <c r="M250" s="24">
        <v>6322</v>
      </c>
      <c r="N250" s="24">
        <v>893</v>
      </c>
      <c r="O250" s="24">
        <f t="shared" si="3"/>
        <v>2024</v>
      </c>
      <c r="P250" s="24"/>
      <c r="Q250" s="24"/>
      <c r="R250" s="24"/>
      <c r="S250" s="24"/>
      <c r="T250" s="24"/>
      <c r="U250" s="24"/>
      <c r="V250" s="27"/>
    </row>
    <row r="251" spans="1:22" x14ac:dyDescent="0.35">
      <c r="A251" s="28">
        <v>45554</v>
      </c>
      <c r="B251" s="28" t="s">
        <v>39</v>
      </c>
      <c r="C251" s="29" t="s">
        <v>13</v>
      </c>
      <c r="D251" s="29" t="s">
        <v>50</v>
      </c>
      <c r="E251" s="29" t="s">
        <v>18</v>
      </c>
      <c r="F251" s="29" t="s">
        <v>44</v>
      </c>
      <c r="G251" s="29" t="s">
        <v>15</v>
      </c>
      <c r="H251" s="29" t="s">
        <v>31</v>
      </c>
      <c r="I251" s="29" t="s">
        <v>12</v>
      </c>
      <c r="J251" s="30">
        <v>177</v>
      </c>
      <c r="K251" s="29">
        <v>51</v>
      </c>
      <c r="L251" s="29">
        <v>9027</v>
      </c>
      <c r="M251" s="29">
        <v>8266</v>
      </c>
      <c r="N251" s="29">
        <v>761</v>
      </c>
      <c r="O251" s="29">
        <f t="shared" si="3"/>
        <v>2024</v>
      </c>
      <c r="P251" s="29"/>
      <c r="Q251" s="29"/>
      <c r="R251" s="29"/>
      <c r="S251" s="29"/>
      <c r="T251" s="29"/>
      <c r="U251" s="29"/>
      <c r="V251" s="32"/>
    </row>
    <row r="252" spans="1:22" x14ac:dyDescent="0.35">
      <c r="A252" s="23">
        <v>45555</v>
      </c>
      <c r="B252" s="23" t="s">
        <v>41</v>
      </c>
      <c r="C252" s="24" t="s">
        <v>23</v>
      </c>
      <c r="D252" s="24" t="s">
        <v>55</v>
      </c>
      <c r="E252" s="24" t="s">
        <v>29</v>
      </c>
      <c r="F252" s="24" t="s">
        <v>43</v>
      </c>
      <c r="G252" s="24" t="s">
        <v>11</v>
      </c>
      <c r="H252" s="24" t="s">
        <v>32</v>
      </c>
      <c r="I252" s="24" t="s">
        <v>16</v>
      </c>
      <c r="J252" s="25">
        <v>46</v>
      </c>
      <c r="K252" s="24">
        <v>49</v>
      </c>
      <c r="L252" s="24">
        <v>2254</v>
      </c>
      <c r="M252" s="24">
        <v>1358</v>
      </c>
      <c r="N252" s="24">
        <v>896</v>
      </c>
      <c r="O252" s="24">
        <f t="shared" si="3"/>
        <v>2024</v>
      </c>
      <c r="P252" s="24"/>
      <c r="Q252" s="24"/>
      <c r="R252" s="24"/>
      <c r="S252" s="24"/>
      <c r="T252" s="24"/>
      <c r="U252" s="24"/>
      <c r="V252" s="27"/>
    </row>
    <row r="253" spans="1:22" x14ac:dyDescent="0.35">
      <c r="A253" s="28">
        <v>45556</v>
      </c>
      <c r="B253" s="28" t="s">
        <v>38</v>
      </c>
      <c r="C253" s="29" t="s">
        <v>9</v>
      </c>
      <c r="D253" s="29" t="s">
        <v>52</v>
      </c>
      <c r="E253" s="29" t="s">
        <v>25</v>
      </c>
      <c r="F253" s="29" t="s">
        <v>46</v>
      </c>
      <c r="G253" s="29" t="s">
        <v>26</v>
      </c>
      <c r="H253" s="29" t="s">
        <v>31</v>
      </c>
      <c r="I253" s="29" t="s">
        <v>12</v>
      </c>
      <c r="J253" s="30">
        <v>86</v>
      </c>
      <c r="K253" s="29">
        <v>41</v>
      </c>
      <c r="L253" s="29">
        <v>3526</v>
      </c>
      <c r="M253" s="29">
        <v>3338</v>
      </c>
      <c r="N253" s="29">
        <v>188</v>
      </c>
      <c r="O253" s="29">
        <f t="shared" si="3"/>
        <v>2024</v>
      </c>
      <c r="P253" s="29"/>
      <c r="Q253" s="29"/>
      <c r="R253" s="29"/>
      <c r="S253" s="29"/>
      <c r="T253" s="29"/>
      <c r="U253" s="29"/>
      <c r="V253" s="32"/>
    </row>
    <row r="254" spans="1:22" x14ac:dyDescent="0.35">
      <c r="A254" s="23">
        <v>45557</v>
      </c>
      <c r="B254" s="23" t="s">
        <v>39</v>
      </c>
      <c r="C254" s="24" t="s">
        <v>13</v>
      </c>
      <c r="D254" s="24" t="s">
        <v>54</v>
      </c>
      <c r="E254" s="24" t="s">
        <v>28</v>
      </c>
      <c r="F254" s="24" t="s">
        <v>45</v>
      </c>
      <c r="G254" s="24" t="s">
        <v>21</v>
      </c>
      <c r="H254" s="24" t="s">
        <v>32</v>
      </c>
      <c r="I254" s="24" t="s">
        <v>16</v>
      </c>
      <c r="J254" s="25">
        <v>124</v>
      </c>
      <c r="K254" s="24">
        <v>53</v>
      </c>
      <c r="L254" s="24">
        <v>6572</v>
      </c>
      <c r="M254" s="24">
        <v>6143</v>
      </c>
      <c r="N254" s="24">
        <v>429</v>
      </c>
      <c r="O254" s="24">
        <f t="shared" si="3"/>
        <v>2024</v>
      </c>
      <c r="P254" s="24"/>
      <c r="Q254" s="24"/>
      <c r="R254" s="24"/>
      <c r="S254" s="24"/>
      <c r="T254" s="24"/>
      <c r="U254" s="24"/>
      <c r="V254" s="27"/>
    </row>
    <row r="255" spans="1:22" x14ac:dyDescent="0.35">
      <c r="A255" s="28">
        <v>45558</v>
      </c>
      <c r="B255" s="28" t="s">
        <v>39</v>
      </c>
      <c r="C255" s="29" t="s">
        <v>13</v>
      </c>
      <c r="D255" s="29" t="s">
        <v>49</v>
      </c>
      <c r="E255" s="29" t="s">
        <v>14</v>
      </c>
      <c r="F255" s="29" t="s">
        <v>44</v>
      </c>
      <c r="G255" s="29" t="s">
        <v>15</v>
      </c>
      <c r="H255" s="29" t="s">
        <v>34</v>
      </c>
      <c r="I255" s="29" t="s">
        <v>22</v>
      </c>
      <c r="J255" s="30">
        <v>179</v>
      </c>
      <c r="K255" s="29">
        <v>38</v>
      </c>
      <c r="L255" s="29">
        <v>6802</v>
      </c>
      <c r="M255" s="29">
        <v>6614</v>
      </c>
      <c r="N255" s="29">
        <v>188</v>
      </c>
      <c r="O255" s="29">
        <f t="shared" si="3"/>
        <v>2024</v>
      </c>
      <c r="P255" s="29"/>
      <c r="Q255" s="29"/>
      <c r="R255" s="29"/>
      <c r="S255" s="29"/>
      <c r="T255" s="29"/>
      <c r="U255" s="29"/>
      <c r="V255" s="32"/>
    </row>
    <row r="256" spans="1:22" x14ac:dyDescent="0.35">
      <c r="A256" s="23">
        <v>45559</v>
      </c>
      <c r="B256" s="23" t="s">
        <v>41</v>
      </c>
      <c r="C256" s="24" t="s">
        <v>23</v>
      </c>
      <c r="D256" s="24" t="s">
        <v>55</v>
      </c>
      <c r="E256" s="24" t="s">
        <v>29</v>
      </c>
      <c r="F256" s="24" t="s">
        <v>43</v>
      </c>
      <c r="G256" s="24" t="s">
        <v>11</v>
      </c>
      <c r="H256" s="24" t="s">
        <v>34</v>
      </c>
      <c r="I256" s="24" t="s">
        <v>22</v>
      </c>
      <c r="J256" s="25">
        <v>137</v>
      </c>
      <c r="K256" s="24">
        <v>68</v>
      </c>
      <c r="L256" s="24">
        <v>9316</v>
      </c>
      <c r="M256" s="24">
        <v>8617</v>
      </c>
      <c r="N256" s="24">
        <v>699</v>
      </c>
      <c r="O256" s="24">
        <f t="shared" si="3"/>
        <v>2024</v>
      </c>
      <c r="P256" s="24"/>
      <c r="Q256" s="24"/>
      <c r="R256" s="24"/>
      <c r="S256" s="24"/>
      <c r="T256" s="24"/>
      <c r="U256" s="24"/>
      <c r="V256" s="27"/>
    </row>
    <row r="257" spans="1:22" x14ac:dyDescent="0.35">
      <c r="A257" s="28">
        <v>45560</v>
      </c>
      <c r="B257" s="28" t="s">
        <v>39</v>
      </c>
      <c r="C257" s="29" t="s">
        <v>13</v>
      </c>
      <c r="D257" s="29" t="s">
        <v>48</v>
      </c>
      <c r="E257" s="29" t="s">
        <v>10</v>
      </c>
      <c r="F257" s="29" t="s">
        <v>43</v>
      </c>
      <c r="G257" s="29" t="s">
        <v>11</v>
      </c>
      <c r="H257" s="29" t="s">
        <v>34</v>
      </c>
      <c r="I257" s="29" t="s">
        <v>22</v>
      </c>
      <c r="J257" s="30">
        <v>66</v>
      </c>
      <c r="K257" s="29">
        <v>48</v>
      </c>
      <c r="L257" s="29">
        <v>3168</v>
      </c>
      <c r="M257" s="29">
        <v>2566</v>
      </c>
      <c r="N257" s="29">
        <v>602</v>
      </c>
      <c r="O257" s="29">
        <f t="shared" si="3"/>
        <v>2024</v>
      </c>
      <c r="P257" s="29"/>
      <c r="Q257" s="29"/>
      <c r="R257" s="29"/>
      <c r="S257" s="29"/>
      <c r="T257" s="29"/>
      <c r="U257" s="29"/>
      <c r="V257" s="32"/>
    </row>
    <row r="258" spans="1:22" x14ac:dyDescent="0.35">
      <c r="A258" s="23">
        <v>45561</v>
      </c>
      <c r="B258" s="23" t="s">
        <v>38</v>
      </c>
      <c r="C258" s="24" t="s">
        <v>9</v>
      </c>
      <c r="D258" s="24" t="s">
        <v>55</v>
      </c>
      <c r="E258" s="24" t="s">
        <v>29</v>
      </c>
      <c r="F258" s="24" t="s">
        <v>43</v>
      </c>
      <c r="G258" s="24" t="s">
        <v>11</v>
      </c>
      <c r="H258" s="24" t="s">
        <v>35</v>
      </c>
      <c r="I258" s="24" t="s">
        <v>24</v>
      </c>
      <c r="J258" s="25">
        <v>108</v>
      </c>
      <c r="K258" s="24">
        <v>82</v>
      </c>
      <c r="L258" s="24">
        <v>8856</v>
      </c>
      <c r="M258" s="24">
        <v>8307</v>
      </c>
      <c r="N258" s="24">
        <v>549</v>
      </c>
      <c r="O258" s="24">
        <f t="shared" si="3"/>
        <v>2024</v>
      </c>
      <c r="P258" s="24"/>
      <c r="Q258" s="24"/>
      <c r="R258" s="24"/>
      <c r="S258" s="24"/>
      <c r="T258" s="24"/>
      <c r="U258" s="24"/>
      <c r="V258" s="27"/>
    </row>
    <row r="259" spans="1:22" x14ac:dyDescent="0.35">
      <c r="A259" s="28">
        <v>45562</v>
      </c>
      <c r="B259" s="28" t="s">
        <v>40</v>
      </c>
      <c r="C259" s="29" t="s">
        <v>17</v>
      </c>
      <c r="D259" s="29" t="s">
        <v>54</v>
      </c>
      <c r="E259" s="29" t="s">
        <v>28</v>
      </c>
      <c r="F259" s="29" t="s">
        <v>45</v>
      </c>
      <c r="G259" s="29" t="s">
        <v>21</v>
      </c>
      <c r="H259" s="29" t="s">
        <v>35</v>
      </c>
      <c r="I259" s="29" t="s">
        <v>24</v>
      </c>
      <c r="J259" s="30">
        <v>176</v>
      </c>
      <c r="K259" s="29">
        <v>87</v>
      </c>
      <c r="L259" s="29">
        <v>15312</v>
      </c>
      <c r="M259" s="29">
        <v>14923</v>
      </c>
      <c r="N259" s="29">
        <v>389</v>
      </c>
      <c r="O259" s="29">
        <f t="shared" ref="O259:O322" si="4">YEAR(A259)</f>
        <v>2024</v>
      </c>
      <c r="P259" s="29"/>
      <c r="Q259" s="29"/>
      <c r="R259" s="29"/>
      <c r="S259" s="29"/>
      <c r="T259" s="29"/>
      <c r="U259" s="29"/>
      <c r="V259" s="32"/>
    </row>
    <row r="260" spans="1:22" x14ac:dyDescent="0.35">
      <c r="A260" s="23">
        <v>45563</v>
      </c>
      <c r="B260" s="23" t="s">
        <v>40</v>
      </c>
      <c r="C260" s="24" t="s">
        <v>17</v>
      </c>
      <c r="D260" s="24" t="s">
        <v>53</v>
      </c>
      <c r="E260" s="24" t="s">
        <v>27</v>
      </c>
      <c r="F260" s="24" t="s">
        <v>46</v>
      </c>
      <c r="G260" s="24" t="s">
        <v>26</v>
      </c>
      <c r="H260" s="24" t="s">
        <v>32</v>
      </c>
      <c r="I260" s="24" t="s">
        <v>16</v>
      </c>
      <c r="J260" s="25">
        <v>21</v>
      </c>
      <c r="K260" s="24">
        <v>37</v>
      </c>
      <c r="L260" s="24">
        <v>777</v>
      </c>
      <c r="M260" s="24">
        <v>559</v>
      </c>
      <c r="N260" s="24">
        <v>218</v>
      </c>
      <c r="O260" s="24">
        <f t="shared" si="4"/>
        <v>2024</v>
      </c>
      <c r="P260" s="24"/>
      <c r="Q260" s="24"/>
      <c r="R260" s="24"/>
      <c r="S260" s="24"/>
      <c r="T260" s="24"/>
      <c r="U260" s="24"/>
      <c r="V260" s="27"/>
    </row>
    <row r="261" spans="1:22" x14ac:dyDescent="0.35">
      <c r="A261" s="28">
        <v>45564</v>
      </c>
      <c r="B261" s="28" t="s">
        <v>38</v>
      </c>
      <c r="C261" s="29" t="s">
        <v>9</v>
      </c>
      <c r="D261" s="29" t="s">
        <v>53</v>
      </c>
      <c r="E261" s="29" t="s">
        <v>27</v>
      </c>
      <c r="F261" s="29" t="s">
        <v>46</v>
      </c>
      <c r="G261" s="29" t="s">
        <v>26</v>
      </c>
      <c r="H261" s="29" t="s">
        <v>32</v>
      </c>
      <c r="I261" s="29" t="s">
        <v>16</v>
      </c>
      <c r="J261" s="30">
        <v>124</v>
      </c>
      <c r="K261" s="29">
        <v>51</v>
      </c>
      <c r="L261" s="29">
        <v>6324</v>
      </c>
      <c r="M261" s="29">
        <v>5696</v>
      </c>
      <c r="N261" s="29">
        <v>628</v>
      </c>
      <c r="O261" s="29">
        <f t="shared" si="4"/>
        <v>2024</v>
      </c>
      <c r="P261" s="29"/>
      <c r="Q261" s="29"/>
      <c r="R261" s="29"/>
      <c r="S261" s="29"/>
      <c r="T261" s="29"/>
      <c r="U261" s="29"/>
      <c r="V261" s="32"/>
    </row>
    <row r="262" spans="1:22" x14ac:dyDescent="0.35">
      <c r="A262" s="23">
        <v>45565</v>
      </c>
      <c r="B262" s="23" t="s">
        <v>40</v>
      </c>
      <c r="C262" s="24" t="s">
        <v>17</v>
      </c>
      <c r="D262" s="24" t="s">
        <v>55</v>
      </c>
      <c r="E262" s="24" t="s">
        <v>29</v>
      </c>
      <c r="F262" s="24" t="s">
        <v>43</v>
      </c>
      <c r="G262" s="24" t="s">
        <v>11</v>
      </c>
      <c r="H262" s="24" t="s">
        <v>34</v>
      </c>
      <c r="I262" s="24" t="s">
        <v>22</v>
      </c>
      <c r="J262" s="25">
        <v>101</v>
      </c>
      <c r="K262" s="24">
        <v>91</v>
      </c>
      <c r="L262" s="24">
        <v>9191</v>
      </c>
      <c r="M262" s="24">
        <v>9055</v>
      </c>
      <c r="N262" s="24">
        <v>136</v>
      </c>
      <c r="O262" s="24">
        <f t="shared" si="4"/>
        <v>2024</v>
      </c>
      <c r="P262" s="24"/>
      <c r="Q262" s="24"/>
      <c r="R262" s="24"/>
      <c r="S262" s="24"/>
      <c r="T262" s="24"/>
      <c r="U262" s="24"/>
      <c r="V262" s="27"/>
    </row>
    <row r="263" spans="1:22" x14ac:dyDescent="0.35">
      <c r="A263" s="28">
        <v>45566</v>
      </c>
      <c r="B263" s="28" t="s">
        <v>40</v>
      </c>
      <c r="C263" s="29" t="s">
        <v>17</v>
      </c>
      <c r="D263" s="29" t="s">
        <v>55</v>
      </c>
      <c r="E263" s="29" t="s">
        <v>29</v>
      </c>
      <c r="F263" s="29" t="s">
        <v>43</v>
      </c>
      <c r="G263" s="29" t="s">
        <v>11</v>
      </c>
      <c r="H263" s="29" t="s">
        <v>31</v>
      </c>
      <c r="I263" s="29" t="s">
        <v>12</v>
      </c>
      <c r="J263" s="30">
        <v>108</v>
      </c>
      <c r="K263" s="29">
        <v>95</v>
      </c>
      <c r="L263" s="29">
        <v>10260</v>
      </c>
      <c r="M263" s="29">
        <v>9751</v>
      </c>
      <c r="N263" s="29">
        <v>509</v>
      </c>
      <c r="O263" s="29">
        <f t="shared" si="4"/>
        <v>2024</v>
      </c>
      <c r="P263" s="29"/>
      <c r="Q263" s="29"/>
      <c r="R263" s="29"/>
      <c r="S263" s="29"/>
      <c r="T263" s="29"/>
      <c r="U263" s="29"/>
      <c r="V263" s="32"/>
    </row>
    <row r="264" spans="1:22" x14ac:dyDescent="0.35">
      <c r="A264" s="23">
        <v>45567</v>
      </c>
      <c r="B264" s="23" t="s">
        <v>39</v>
      </c>
      <c r="C264" s="24" t="s">
        <v>13</v>
      </c>
      <c r="D264" s="24" t="s">
        <v>54</v>
      </c>
      <c r="E264" s="24" t="s">
        <v>28</v>
      </c>
      <c r="F264" s="24" t="s">
        <v>45</v>
      </c>
      <c r="G264" s="24" t="s">
        <v>21</v>
      </c>
      <c r="H264" s="24" t="s">
        <v>34</v>
      </c>
      <c r="I264" s="24" t="s">
        <v>22</v>
      </c>
      <c r="J264" s="25">
        <v>85</v>
      </c>
      <c r="K264" s="24">
        <v>87</v>
      </c>
      <c r="L264" s="24">
        <v>7395</v>
      </c>
      <c r="M264" s="24">
        <v>7096</v>
      </c>
      <c r="N264" s="24">
        <v>299</v>
      </c>
      <c r="O264" s="24">
        <f t="shared" si="4"/>
        <v>2024</v>
      </c>
      <c r="P264" s="24"/>
      <c r="Q264" s="24"/>
      <c r="R264" s="24"/>
      <c r="S264" s="24"/>
      <c r="T264" s="24"/>
      <c r="U264" s="24"/>
      <c r="V264" s="27"/>
    </row>
    <row r="265" spans="1:22" x14ac:dyDescent="0.35">
      <c r="A265" s="28">
        <v>45568</v>
      </c>
      <c r="B265" s="28" t="s">
        <v>39</v>
      </c>
      <c r="C265" s="29" t="s">
        <v>13</v>
      </c>
      <c r="D265" s="29" t="s">
        <v>51</v>
      </c>
      <c r="E265" s="29" t="s">
        <v>20</v>
      </c>
      <c r="F265" s="29" t="s">
        <v>45</v>
      </c>
      <c r="G265" s="29" t="s">
        <v>21</v>
      </c>
      <c r="H265" s="29" t="s">
        <v>31</v>
      </c>
      <c r="I265" s="29" t="s">
        <v>12</v>
      </c>
      <c r="J265" s="30">
        <v>28</v>
      </c>
      <c r="K265" s="29">
        <v>86</v>
      </c>
      <c r="L265" s="29">
        <v>2408</v>
      </c>
      <c r="M265" s="29">
        <v>2298</v>
      </c>
      <c r="N265" s="29">
        <v>110</v>
      </c>
      <c r="O265" s="29">
        <f t="shared" si="4"/>
        <v>2024</v>
      </c>
      <c r="P265" s="29"/>
      <c r="Q265" s="29"/>
      <c r="R265" s="29"/>
      <c r="S265" s="29"/>
      <c r="T265" s="29"/>
      <c r="U265" s="29"/>
      <c r="V265" s="32"/>
    </row>
    <row r="266" spans="1:22" x14ac:dyDescent="0.35">
      <c r="A266" s="23">
        <v>45569</v>
      </c>
      <c r="B266" s="23" t="s">
        <v>38</v>
      </c>
      <c r="C266" s="24" t="s">
        <v>9</v>
      </c>
      <c r="D266" s="24" t="s">
        <v>54</v>
      </c>
      <c r="E266" s="24" t="s">
        <v>28</v>
      </c>
      <c r="F266" s="24" t="s">
        <v>45</v>
      </c>
      <c r="G266" s="24" t="s">
        <v>21</v>
      </c>
      <c r="H266" s="24" t="s">
        <v>31</v>
      </c>
      <c r="I266" s="24" t="s">
        <v>12</v>
      </c>
      <c r="J266" s="25">
        <v>153</v>
      </c>
      <c r="K266" s="24">
        <v>73</v>
      </c>
      <c r="L266" s="24">
        <v>11169</v>
      </c>
      <c r="M266" s="24">
        <v>10859</v>
      </c>
      <c r="N266" s="24">
        <v>310</v>
      </c>
      <c r="O266" s="24">
        <f t="shared" si="4"/>
        <v>2024</v>
      </c>
      <c r="P266" s="24"/>
      <c r="Q266" s="24"/>
      <c r="R266" s="24"/>
      <c r="S266" s="24"/>
      <c r="T266" s="24"/>
      <c r="U266" s="24"/>
      <c r="V266" s="27"/>
    </row>
    <row r="267" spans="1:22" x14ac:dyDescent="0.35">
      <c r="A267" s="28">
        <v>45570</v>
      </c>
      <c r="B267" s="28" t="s">
        <v>38</v>
      </c>
      <c r="C267" s="29" t="s">
        <v>9</v>
      </c>
      <c r="D267" s="29" t="s">
        <v>52</v>
      </c>
      <c r="E267" s="29" t="s">
        <v>25</v>
      </c>
      <c r="F267" s="29" t="s">
        <v>46</v>
      </c>
      <c r="G267" s="29" t="s">
        <v>26</v>
      </c>
      <c r="H267" s="29" t="s">
        <v>35</v>
      </c>
      <c r="I267" s="29" t="s">
        <v>24</v>
      </c>
      <c r="J267" s="30">
        <v>61</v>
      </c>
      <c r="K267" s="29">
        <v>49</v>
      </c>
      <c r="L267" s="29">
        <v>2989</v>
      </c>
      <c r="M267" s="29">
        <v>2109</v>
      </c>
      <c r="N267" s="29">
        <v>880</v>
      </c>
      <c r="O267" s="29">
        <f t="shared" si="4"/>
        <v>2024</v>
      </c>
      <c r="P267" s="29"/>
      <c r="Q267" s="29"/>
      <c r="R267" s="29"/>
      <c r="S267" s="29"/>
      <c r="T267" s="29"/>
      <c r="U267" s="29"/>
      <c r="V267" s="32"/>
    </row>
    <row r="268" spans="1:22" x14ac:dyDescent="0.35">
      <c r="A268" s="23">
        <v>45571</v>
      </c>
      <c r="B268" s="23" t="s">
        <v>38</v>
      </c>
      <c r="C268" s="24" t="s">
        <v>9</v>
      </c>
      <c r="D268" s="24" t="s">
        <v>55</v>
      </c>
      <c r="E268" s="24" t="s">
        <v>29</v>
      </c>
      <c r="F268" s="24" t="s">
        <v>43</v>
      </c>
      <c r="G268" s="24" t="s">
        <v>11</v>
      </c>
      <c r="H268" s="24" t="s">
        <v>34</v>
      </c>
      <c r="I268" s="24" t="s">
        <v>22</v>
      </c>
      <c r="J268" s="25">
        <v>167</v>
      </c>
      <c r="K268" s="24">
        <v>37</v>
      </c>
      <c r="L268" s="24">
        <v>6179</v>
      </c>
      <c r="M268" s="24">
        <v>5858</v>
      </c>
      <c r="N268" s="24">
        <v>321</v>
      </c>
      <c r="O268" s="24">
        <f t="shared" si="4"/>
        <v>2024</v>
      </c>
      <c r="P268" s="24"/>
      <c r="Q268" s="24"/>
      <c r="R268" s="24"/>
      <c r="S268" s="24"/>
      <c r="T268" s="24"/>
      <c r="U268" s="24"/>
      <c r="V268" s="27"/>
    </row>
    <row r="269" spans="1:22" x14ac:dyDescent="0.35">
      <c r="A269" s="28">
        <v>45572</v>
      </c>
      <c r="B269" s="28" t="s">
        <v>39</v>
      </c>
      <c r="C269" s="29" t="s">
        <v>13</v>
      </c>
      <c r="D269" s="29" t="s">
        <v>55</v>
      </c>
      <c r="E269" s="29" t="s">
        <v>29</v>
      </c>
      <c r="F269" s="29" t="s">
        <v>43</v>
      </c>
      <c r="G269" s="29" t="s">
        <v>11</v>
      </c>
      <c r="H269" s="29" t="s">
        <v>34</v>
      </c>
      <c r="I269" s="29" t="s">
        <v>22</v>
      </c>
      <c r="J269" s="30">
        <v>78</v>
      </c>
      <c r="K269" s="29">
        <v>92</v>
      </c>
      <c r="L269" s="29">
        <v>7176</v>
      </c>
      <c r="M269" s="29">
        <v>7027</v>
      </c>
      <c r="N269" s="29">
        <v>149</v>
      </c>
      <c r="O269" s="29">
        <f t="shared" si="4"/>
        <v>2024</v>
      </c>
      <c r="P269" s="29"/>
      <c r="Q269" s="29"/>
      <c r="R269" s="29"/>
      <c r="S269" s="29"/>
      <c r="T269" s="29"/>
      <c r="U269" s="29"/>
      <c r="V269" s="32"/>
    </row>
    <row r="270" spans="1:22" x14ac:dyDescent="0.35">
      <c r="A270" s="23">
        <v>45573</v>
      </c>
      <c r="B270" s="23" t="s">
        <v>39</v>
      </c>
      <c r="C270" s="24" t="s">
        <v>13</v>
      </c>
      <c r="D270" s="24" t="s">
        <v>49</v>
      </c>
      <c r="E270" s="24" t="s">
        <v>14</v>
      </c>
      <c r="F270" s="24" t="s">
        <v>44</v>
      </c>
      <c r="G270" s="24" t="s">
        <v>15</v>
      </c>
      <c r="H270" s="24" t="s">
        <v>32</v>
      </c>
      <c r="I270" s="24" t="s">
        <v>16</v>
      </c>
      <c r="J270" s="25">
        <v>74</v>
      </c>
      <c r="K270" s="24">
        <v>79</v>
      </c>
      <c r="L270" s="24">
        <v>5846</v>
      </c>
      <c r="M270" s="24">
        <v>5564</v>
      </c>
      <c r="N270" s="24">
        <v>282</v>
      </c>
      <c r="O270" s="24">
        <f t="shared" si="4"/>
        <v>2024</v>
      </c>
      <c r="P270" s="24"/>
      <c r="Q270" s="24"/>
      <c r="R270" s="24"/>
      <c r="S270" s="24"/>
      <c r="T270" s="24"/>
      <c r="U270" s="24"/>
      <c r="V270" s="27"/>
    </row>
    <row r="271" spans="1:22" x14ac:dyDescent="0.35">
      <c r="A271" s="28">
        <v>45574</v>
      </c>
      <c r="B271" s="28" t="s">
        <v>41</v>
      </c>
      <c r="C271" s="29" t="s">
        <v>23</v>
      </c>
      <c r="D271" s="29" t="s">
        <v>51</v>
      </c>
      <c r="E271" s="29" t="s">
        <v>20</v>
      </c>
      <c r="F271" s="29" t="s">
        <v>45</v>
      </c>
      <c r="G271" s="29" t="s">
        <v>21</v>
      </c>
      <c r="H271" s="29" t="s">
        <v>35</v>
      </c>
      <c r="I271" s="29" t="s">
        <v>24</v>
      </c>
      <c r="J271" s="30">
        <v>118</v>
      </c>
      <c r="K271" s="29">
        <v>77</v>
      </c>
      <c r="L271" s="29">
        <v>9086</v>
      </c>
      <c r="M271" s="29">
        <v>8571</v>
      </c>
      <c r="N271" s="29">
        <v>515</v>
      </c>
      <c r="O271" s="29">
        <f t="shared" si="4"/>
        <v>2024</v>
      </c>
      <c r="P271" s="29"/>
      <c r="Q271" s="29"/>
      <c r="R271" s="29"/>
      <c r="S271" s="29"/>
      <c r="T271" s="29"/>
      <c r="U271" s="29"/>
      <c r="V271" s="32"/>
    </row>
    <row r="272" spans="1:22" x14ac:dyDescent="0.35">
      <c r="A272" s="23">
        <v>45575</v>
      </c>
      <c r="B272" s="23" t="s">
        <v>40</v>
      </c>
      <c r="C272" s="24" t="s">
        <v>17</v>
      </c>
      <c r="D272" s="24" t="s">
        <v>53</v>
      </c>
      <c r="E272" s="24" t="s">
        <v>27</v>
      </c>
      <c r="F272" s="24" t="s">
        <v>46</v>
      </c>
      <c r="G272" s="24" t="s">
        <v>26</v>
      </c>
      <c r="H272" s="24" t="s">
        <v>34</v>
      </c>
      <c r="I272" s="24" t="s">
        <v>22</v>
      </c>
      <c r="J272" s="25">
        <v>80</v>
      </c>
      <c r="K272" s="24">
        <v>79</v>
      </c>
      <c r="L272" s="24">
        <v>6320</v>
      </c>
      <c r="M272" s="24">
        <v>5791</v>
      </c>
      <c r="N272" s="24">
        <v>529</v>
      </c>
      <c r="O272" s="24">
        <f t="shared" si="4"/>
        <v>2024</v>
      </c>
      <c r="P272" s="24"/>
      <c r="Q272" s="24"/>
      <c r="R272" s="24"/>
      <c r="S272" s="24"/>
      <c r="T272" s="24"/>
      <c r="U272" s="24"/>
      <c r="V272" s="27"/>
    </row>
    <row r="273" spans="1:22" x14ac:dyDescent="0.35">
      <c r="A273" s="28">
        <v>45576</v>
      </c>
      <c r="B273" s="28" t="s">
        <v>39</v>
      </c>
      <c r="C273" s="29" t="s">
        <v>13</v>
      </c>
      <c r="D273" s="29" t="s">
        <v>51</v>
      </c>
      <c r="E273" s="29" t="s">
        <v>20</v>
      </c>
      <c r="F273" s="29" t="s">
        <v>45</v>
      </c>
      <c r="G273" s="29" t="s">
        <v>21</v>
      </c>
      <c r="H273" s="29" t="s">
        <v>34</v>
      </c>
      <c r="I273" s="29" t="s">
        <v>22</v>
      </c>
      <c r="J273" s="30">
        <v>183</v>
      </c>
      <c r="K273" s="29">
        <v>64</v>
      </c>
      <c r="L273" s="29">
        <v>11712</v>
      </c>
      <c r="M273" s="29">
        <v>11384</v>
      </c>
      <c r="N273" s="29">
        <v>328</v>
      </c>
      <c r="O273" s="29">
        <f t="shared" si="4"/>
        <v>2024</v>
      </c>
      <c r="P273" s="29"/>
      <c r="Q273" s="29"/>
      <c r="R273" s="29"/>
      <c r="S273" s="29"/>
      <c r="T273" s="29"/>
      <c r="U273" s="29"/>
      <c r="V273" s="32"/>
    </row>
    <row r="274" spans="1:22" x14ac:dyDescent="0.35">
      <c r="A274" s="23">
        <v>45577</v>
      </c>
      <c r="B274" s="23" t="s">
        <v>38</v>
      </c>
      <c r="C274" s="24" t="s">
        <v>9</v>
      </c>
      <c r="D274" s="24" t="s">
        <v>48</v>
      </c>
      <c r="E274" s="24" t="s">
        <v>10</v>
      </c>
      <c r="F274" s="24" t="s">
        <v>43</v>
      </c>
      <c r="G274" s="24" t="s">
        <v>11</v>
      </c>
      <c r="H274" s="24" t="s">
        <v>33</v>
      </c>
      <c r="I274" s="24" t="s">
        <v>19</v>
      </c>
      <c r="J274" s="25">
        <v>62</v>
      </c>
      <c r="K274" s="24">
        <v>47</v>
      </c>
      <c r="L274" s="24">
        <v>2914</v>
      </c>
      <c r="M274" s="24">
        <v>2118</v>
      </c>
      <c r="N274" s="24">
        <v>796</v>
      </c>
      <c r="O274" s="24">
        <f t="shared" si="4"/>
        <v>2024</v>
      </c>
      <c r="P274" s="24"/>
      <c r="Q274" s="24"/>
      <c r="R274" s="24"/>
      <c r="S274" s="24"/>
      <c r="T274" s="24"/>
      <c r="U274" s="24"/>
      <c r="V274" s="27"/>
    </row>
    <row r="275" spans="1:22" x14ac:dyDescent="0.35">
      <c r="A275" s="28">
        <v>45578</v>
      </c>
      <c r="B275" s="28" t="s">
        <v>41</v>
      </c>
      <c r="C275" s="29" t="s">
        <v>23</v>
      </c>
      <c r="D275" s="29" t="s">
        <v>48</v>
      </c>
      <c r="E275" s="29" t="s">
        <v>10</v>
      </c>
      <c r="F275" s="29" t="s">
        <v>43</v>
      </c>
      <c r="G275" s="29" t="s">
        <v>11</v>
      </c>
      <c r="H275" s="29" t="s">
        <v>33</v>
      </c>
      <c r="I275" s="29" t="s">
        <v>19</v>
      </c>
      <c r="J275" s="30">
        <v>63</v>
      </c>
      <c r="K275" s="29">
        <v>69</v>
      </c>
      <c r="L275" s="29">
        <v>4347</v>
      </c>
      <c r="M275" s="29">
        <v>4150</v>
      </c>
      <c r="N275" s="29">
        <v>197</v>
      </c>
      <c r="O275" s="29">
        <f t="shared" si="4"/>
        <v>2024</v>
      </c>
      <c r="P275" s="29"/>
      <c r="Q275" s="29"/>
      <c r="R275" s="29"/>
      <c r="S275" s="29"/>
      <c r="T275" s="29"/>
      <c r="U275" s="29"/>
      <c r="V275" s="32"/>
    </row>
    <row r="276" spans="1:22" x14ac:dyDescent="0.35">
      <c r="A276" s="23">
        <v>45579</v>
      </c>
      <c r="B276" s="23" t="s">
        <v>39</v>
      </c>
      <c r="C276" s="24" t="s">
        <v>13</v>
      </c>
      <c r="D276" s="24" t="s">
        <v>50</v>
      </c>
      <c r="E276" s="24" t="s">
        <v>18</v>
      </c>
      <c r="F276" s="24" t="s">
        <v>44</v>
      </c>
      <c r="G276" s="24" t="s">
        <v>15</v>
      </c>
      <c r="H276" s="24" t="s">
        <v>34</v>
      </c>
      <c r="I276" s="24" t="s">
        <v>22</v>
      </c>
      <c r="J276" s="25">
        <v>138</v>
      </c>
      <c r="K276" s="24">
        <v>51</v>
      </c>
      <c r="L276" s="24">
        <v>7038</v>
      </c>
      <c r="M276" s="24">
        <v>6346</v>
      </c>
      <c r="N276" s="24">
        <v>692</v>
      </c>
      <c r="O276" s="24">
        <f t="shared" si="4"/>
        <v>2024</v>
      </c>
      <c r="P276" s="24"/>
      <c r="Q276" s="24"/>
      <c r="R276" s="24"/>
      <c r="S276" s="24"/>
      <c r="T276" s="24"/>
      <c r="U276" s="24"/>
      <c r="V276" s="27"/>
    </row>
    <row r="277" spans="1:22" x14ac:dyDescent="0.35">
      <c r="A277" s="28">
        <v>45580</v>
      </c>
      <c r="B277" s="28" t="s">
        <v>41</v>
      </c>
      <c r="C277" s="29" t="s">
        <v>23</v>
      </c>
      <c r="D277" s="29" t="s">
        <v>53</v>
      </c>
      <c r="E277" s="29" t="s">
        <v>27</v>
      </c>
      <c r="F277" s="29" t="s">
        <v>46</v>
      </c>
      <c r="G277" s="29" t="s">
        <v>26</v>
      </c>
      <c r="H277" s="29" t="s">
        <v>33</v>
      </c>
      <c r="I277" s="29" t="s">
        <v>19</v>
      </c>
      <c r="J277" s="30">
        <v>85</v>
      </c>
      <c r="K277" s="29">
        <v>84</v>
      </c>
      <c r="L277" s="29">
        <v>7140</v>
      </c>
      <c r="M277" s="29">
        <v>6470</v>
      </c>
      <c r="N277" s="29">
        <v>670</v>
      </c>
      <c r="O277" s="29">
        <f t="shared" si="4"/>
        <v>2024</v>
      </c>
      <c r="P277" s="29"/>
      <c r="Q277" s="29"/>
      <c r="R277" s="29"/>
      <c r="S277" s="29"/>
      <c r="T277" s="29"/>
      <c r="U277" s="29"/>
      <c r="V277" s="32"/>
    </row>
    <row r="278" spans="1:22" x14ac:dyDescent="0.35">
      <c r="A278" s="23">
        <v>45581</v>
      </c>
      <c r="B278" s="23" t="s">
        <v>39</v>
      </c>
      <c r="C278" s="24" t="s">
        <v>13</v>
      </c>
      <c r="D278" s="24" t="s">
        <v>50</v>
      </c>
      <c r="E278" s="24" t="s">
        <v>18</v>
      </c>
      <c r="F278" s="24" t="s">
        <v>44</v>
      </c>
      <c r="G278" s="24" t="s">
        <v>15</v>
      </c>
      <c r="H278" s="24" t="s">
        <v>32</v>
      </c>
      <c r="I278" s="24" t="s">
        <v>16</v>
      </c>
      <c r="J278" s="25">
        <v>34</v>
      </c>
      <c r="K278" s="24">
        <v>94</v>
      </c>
      <c r="L278" s="24">
        <v>3196</v>
      </c>
      <c r="M278" s="24">
        <v>2510</v>
      </c>
      <c r="N278" s="24">
        <v>686</v>
      </c>
      <c r="O278" s="24">
        <f t="shared" si="4"/>
        <v>2024</v>
      </c>
      <c r="P278" s="24"/>
      <c r="Q278" s="24"/>
      <c r="R278" s="24"/>
      <c r="S278" s="24"/>
      <c r="T278" s="24"/>
      <c r="U278" s="24"/>
      <c r="V278" s="27"/>
    </row>
    <row r="279" spans="1:22" x14ac:dyDescent="0.35">
      <c r="A279" s="28">
        <v>45582</v>
      </c>
      <c r="B279" s="28" t="s">
        <v>40</v>
      </c>
      <c r="C279" s="29" t="s">
        <v>17</v>
      </c>
      <c r="D279" s="29" t="s">
        <v>49</v>
      </c>
      <c r="E279" s="29" t="s">
        <v>14</v>
      </c>
      <c r="F279" s="29" t="s">
        <v>44</v>
      </c>
      <c r="G279" s="29" t="s">
        <v>15</v>
      </c>
      <c r="H279" s="29" t="s">
        <v>32</v>
      </c>
      <c r="I279" s="29" t="s">
        <v>16</v>
      </c>
      <c r="J279" s="30">
        <v>67</v>
      </c>
      <c r="K279" s="29">
        <v>90</v>
      </c>
      <c r="L279" s="29">
        <v>6030</v>
      </c>
      <c r="M279" s="29">
        <v>5761</v>
      </c>
      <c r="N279" s="29">
        <v>269</v>
      </c>
      <c r="O279" s="29">
        <f t="shared" si="4"/>
        <v>2024</v>
      </c>
      <c r="P279" s="29"/>
      <c r="Q279" s="29"/>
      <c r="R279" s="29"/>
      <c r="S279" s="29"/>
      <c r="T279" s="29"/>
      <c r="U279" s="29"/>
      <c r="V279" s="32"/>
    </row>
    <row r="280" spans="1:22" x14ac:dyDescent="0.35">
      <c r="A280" s="23">
        <v>45583</v>
      </c>
      <c r="B280" s="23" t="s">
        <v>39</v>
      </c>
      <c r="C280" s="24" t="s">
        <v>13</v>
      </c>
      <c r="D280" s="24" t="s">
        <v>50</v>
      </c>
      <c r="E280" s="24" t="s">
        <v>18</v>
      </c>
      <c r="F280" s="24" t="s">
        <v>44</v>
      </c>
      <c r="G280" s="24" t="s">
        <v>15</v>
      </c>
      <c r="H280" s="24" t="s">
        <v>34</v>
      </c>
      <c r="I280" s="24" t="s">
        <v>22</v>
      </c>
      <c r="J280" s="25">
        <v>22</v>
      </c>
      <c r="K280" s="24">
        <v>91</v>
      </c>
      <c r="L280" s="24">
        <v>2002</v>
      </c>
      <c r="M280" s="24">
        <v>1799</v>
      </c>
      <c r="N280" s="24">
        <v>203</v>
      </c>
      <c r="O280" s="24">
        <f t="shared" si="4"/>
        <v>2024</v>
      </c>
      <c r="P280" s="24"/>
      <c r="Q280" s="24"/>
      <c r="R280" s="24"/>
      <c r="S280" s="24"/>
      <c r="T280" s="24"/>
      <c r="U280" s="24"/>
      <c r="V280" s="27"/>
    </row>
    <row r="281" spans="1:22" x14ac:dyDescent="0.35">
      <c r="A281" s="28">
        <v>45584</v>
      </c>
      <c r="B281" s="28" t="s">
        <v>39</v>
      </c>
      <c r="C281" s="29" t="s">
        <v>13</v>
      </c>
      <c r="D281" s="29" t="s">
        <v>48</v>
      </c>
      <c r="E281" s="29" t="s">
        <v>10</v>
      </c>
      <c r="F281" s="29" t="s">
        <v>43</v>
      </c>
      <c r="G281" s="29" t="s">
        <v>11</v>
      </c>
      <c r="H281" s="29" t="s">
        <v>35</v>
      </c>
      <c r="I281" s="29" t="s">
        <v>24</v>
      </c>
      <c r="J281" s="30">
        <v>190</v>
      </c>
      <c r="K281" s="29">
        <v>76</v>
      </c>
      <c r="L281" s="29">
        <v>14440</v>
      </c>
      <c r="M281" s="29">
        <v>13715</v>
      </c>
      <c r="N281" s="29">
        <v>725</v>
      </c>
      <c r="O281" s="29">
        <f t="shared" si="4"/>
        <v>2024</v>
      </c>
      <c r="P281" s="29"/>
      <c r="Q281" s="29"/>
      <c r="R281" s="29"/>
      <c r="S281" s="29"/>
      <c r="T281" s="29"/>
      <c r="U281" s="29"/>
      <c r="V281" s="32"/>
    </row>
    <row r="282" spans="1:22" x14ac:dyDescent="0.35">
      <c r="A282" s="23">
        <v>45585</v>
      </c>
      <c r="B282" s="23" t="s">
        <v>41</v>
      </c>
      <c r="C282" s="24" t="s">
        <v>23</v>
      </c>
      <c r="D282" s="24" t="s">
        <v>53</v>
      </c>
      <c r="E282" s="24" t="s">
        <v>27</v>
      </c>
      <c r="F282" s="24" t="s">
        <v>46</v>
      </c>
      <c r="G282" s="24" t="s">
        <v>26</v>
      </c>
      <c r="H282" s="24" t="s">
        <v>32</v>
      </c>
      <c r="I282" s="24" t="s">
        <v>16</v>
      </c>
      <c r="J282" s="25">
        <v>119</v>
      </c>
      <c r="K282" s="24">
        <v>85</v>
      </c>
      <c r="L282" s="24">
        <v>10115</v>
      </c>
      <c r="M282" s="24">
        <v>9439</v>
      </c>
      <c r="N282" s="24">
        <v>676</v>
      </c>
      <c r="O282" s="24">
        <f t="shared" si="4"/>
        <v>2024</v>
      </c>
      <c r="P282" s="24"/>
      <c r="Q282" s="24"/>
      <c r="R282" s="24"/>
      <c r="S282" s="24"/>
      <c r="T282" s="24"/>
      <c r="U282" s="24"/>
      <c r="V282" s="27"/>
    </row>
    <row r="283" spans="1:22" x14ac:dyDescent="0.35">
      <c r="A283" s="28">
        <v>45586</v>
      </c>
      <c r="B283" s="28" t="s">
        <v>39</v>
      </c>
      <c r="C283" s="29" t="s">
        <v>13</v>
      </c>
      <c r="D283" s="29" t="s">
        <v>52</v>
      </c>
      <c r="E283" s="29" t="s">
        <v>25</v>
      </c>
      <c r="F283" s="29" t="s">
        <v>46</v>
      </c>
      <c r="G283" s="29" t="s">
        <v>26</v>
      </c>
      <c r="H283" s="29" t="s">
        <v>32</v>
      </c>
      <c r="I283" s="29" t="s">
        <v>16</v>
      </c>
      <c r="J283" s="30">
        <v>195</v>
      </c>
      <c r="K283" s="29">
        <v>47</v>
      </c>
      <c r="L283" s="29">
        <v>9165</v>
      </c>
      <c r="M283" s="29">
        <v>8991</v>
      </c>
      <c r="N283" s="29">
        <v>174</v>
      </c>
      <c r="O283" s="29">
        <f t="shared" si="4"/>
        <v>2024</v>
      </c>
      <c r="P283" s="29"/>
      <c r="Q283" s="29"/>
      <c r="R283" s="29"/>
      <c r="S283" s="29"/>
      <c r="T283" s="29"/>
      <c r="U283" s="29"/>
      <c r="V283" s="32"/>
    </row>
    <row r="284" spans="1:22" x14ac:dyDescent="0.35">
      <c r="A284" s="23">
        <v>45587</v>
      </c>
      <c r="B284" s="23" t="s">
        <v>38</v>
      </c>
      <c r="C284" s="24" t="s">
        <v>9</v>
      </c>
      <c r="D284" s="24" t="s">
        <v>51</v>
      </c>
      <c r="E284" s="24" t="s">
        <v>20</v>
      </c>
      <c r="F284" s="24" t="s">
        <v>45</v>
      </c>
      <c r="G284" s="24" t="s">
        <v>21</v>
      </c>
      <c r="H284" s="24" t="s">
        <v>33</v>
      </c>
      <c r="I284" s="24" t="s">
        <v>19</v>
      </c>
      <c r="J284" s="25">
        <v>200</v>
      </c>
      <c r="K284" s="24">
        <v>93</v>
      </c>
      <c r="L284" s="24">
        <v>18600</v>
      </c>
      <c r="M284" s="24">
        <v>17713</v>
      </c>
      <c r="N284" s="24">
        <v>887</v>
      </c>
      <c r="O284" s="24">
        <f t="shared" si="4"/>
        <v>2024</v>
      </c>
      <c r="P284" s="24"/>
      <c r="Q284" s="24"/>
      <c r="R284" s="24"/>
      <c r="S284" s="24"/>
      <c r="T284" s="24"/>
      <c r="U284" s="24"/>
      <c r="V284" s="27"/>
    </row>
    <row r="285" spans="1:22" x14ac:dyDescent="0.35">
      <c r="A285" s="28">
        <v>45588</v>
      </c>
      <c r="B285" s="28" t="s">
        <v>41</v>
      </c>
      <c r="C285" s="29" t="s">
        <v>23</v>
      </c>
      <c r="D285" s="29" t="s">
        <v>53</v>
      </c>
      <c r="E285" s="29" t="s">
        <v>27</v>
      </c>
      <c r="F285" s="29" t="s">
        <v>46</v>
      </c>
      <c r="G285" s="29" t="s">
        <v>26</v>
      </c>
      <c r="H285" s="29" t="s">
        <v>32</v>
      </c>
      <c r="I285" s="29" t="s">
        <v>16</v>
      </c>
      <c r="J285" s="30">
        <v>111</v>
      </c>
      <c r="K285" s="29">
        <v>96</v>
      </c>
      <c r="L285" s="29">
        <v>10656</v>
      </c>
      <c r="M285" s="29">
        <v>10080</v>
      </c>
      <c r="N285" s="29">
        <v>576</v>
      </c>
      <c r="O285" s="29">
        <f t="shared" si="4"/>
        <v>2024</v>
      </c>
      <c r="P285" s="29"/>
      <c r="Q285" s="29"/>
      <c r="R285" s="29"/>
      <c r="S285" s="29"/>
      <c r="T285" s="29"/>
      <c r="U285" s="29"/>
      <c r="V285" s="32"/>
    </row>
    <row r="286" spans="1:22" x14ac:dyDescent="0.35">
      <c r="A286" s="23">
        <v>45589</v>
      </c>
      <c r="B286" s="23" t="s">
        <v>39</v>
      </c>
      <c r="C286" s="24" t="s">
        <v>13</v>
      </c>
      <c r="D286" s="24" t="s">
        <v>50</v>
      </c>
      <c r="E286" s="24" t="s">
        <v>18</v>
      </c>
      <c r="F286" s="24" t="s">
        <v>44</v>
      </c>
      <c r="G286" s="24" t="s">
        <v>15</v>
      </c>
      <c r="H286" s="24" t="s">
        <v>35</v>
      </c>
      <c r="I286" s="24" t="s">
        <v>24</v>
      </c>
      <c r="J286" s="25">
        <v>167</v>
      </c>
      <c r="K286" s="24">
        <v>85</v>
      </c>
      <c r="L286" s="24">
        <v>14195</v>
      </c>
      <c r="M286" s="24">
        <v>13969</v>
      </c>
      <c r="N286" s="24">
        <v>226</v>
      </c>
      <c r="O286" s="24">
        <f t="shared" si="4"/>
        <v>2024</v>
      </c>
      <c r="P286" s="24"/>
      <c r="Q286" s="24"/>
      <c r="R286" s="24"/>
      <c r="S286" s="24"/>
      <c r="T286" s="24"/>
      <c r="U286" s="24"/>
      <c r="V286" s="27"/>
    </row>
    <row r="287" spans="1:22" x14ac:dyDescent="0.35">
      <c r="A287" s="28">
        <v>45590</v>
      </c>
      <c r="B287" s="28" t="s">
        <v>39</v>
      </c>
      <c r="C287" s="29" t="s">
        <v>13</v>
      </c>
      <c r="D287" s="29" t="s">
        <v>50</v>
      </c>
      <c r="E287" s="29" t="s">
        <v>18</v>
      </c>
      <c r="F287" s="29" t="s">
        <v>44</v>
      </c>
      <c r="G287" s="29" t="s">
        <v>15</v>
      </c>
      <c r="H287" s="29" t="s">
        <v>35</v>
      </c>
      <c r="I287" s="29" t="s">
        <v>24</v>
      </c>
      <c r="J287" s="30">
        <v>186</v>
      </c>
      <c r="K287" s="29">
        <v>30</v>
      </c>
      <c r="L287" s="29">
        <v>5580</v>
      </c>
      <c r="M287" s="29">
        <v>5474</v>
      </c>
      <c r="N287" s="29">
        <v>106</v>
      </c>
      <c r="O287" s="29">
        <f t="shared" si="4"/>
        <v>2024</v>
      </c>
      <c r="P287" s="29"/>
      <c r="Q287" s="29"/>
      <c r="R287" s="29"/>
      <c r="S287" s="29"/>
      <c r="T287" s="29"/>
      <c r="U287" s="29"/>
      <c r="V287" s="32"/>
    </row>
    <row r="288" spans="1:22" x14ac:dyDescent="0.35">
      <c r="A288" s="23">
        <v>45591</v>
      </c>
      <c r="B288" s="23" t="s">
        <v>40</v>
      </c>
      <c r="C288" s="24" t="s">
        <v>17</v>
      </c>
      <c r="D288" s="24" t="s">
        <v>54</v>
      </c>
      <c r="E288" s="24" t="s">
        <v>28</v>
      </c>
      <c r="F288" s="24" t="s">
        <v>45</v>
      </c>
      <c r="G288" s="24" t="s">
        <v>21</v>
      </c>
      <c r="H288" s="24" t="s">
        <v>33</v>
      </c>
      <c r="I288" s="24" t="s">
        <v>19</v>
      </c>
      <c r="J288" s="25">
        <v>97</v>
      </c>
      <c r="K288" s="24">
        <v>33</v>
      </c>
      <c r="L288" s="24">
        <v>3201</v>
      </c>
      <c r="M288" s="24">
        <v>2338</v>
      </c>
      <c r="N288" s="24">
        <v>863</v>
      </c>
      <c r="O288" s="24">
        <f t="shared" si="4"/>
        <v>2024</v>
      </c>
      <c r="P288" s="24"/>
      <c r="Q288" s="24"/>
      <c r="R288" s="24"/>
      <c r="S288" s="24"/>
      <c r="T288" s="24"/>
      <c r="U288" s="24"/>
      <c r="V288" s="27"/>
    </row>
    <row r="289" spans="1:22" x14ac:dyDescent="0.35">
      <c r="A289" s="28">
        <v>45592</v>
      </c>
      <c r="B289" s="28" t="s">
        <v>41</v>
      </c>
      <c r="C289" s="29" t="s">
        <v>23</v>
      </c>
      <c r="D289" s="29" t="s">
        <v>53</v>
      </c>
      <c r="E289" s="29" t="s">
        <v>27</v>
      </c>
      <c r="F289" s="29" t="s">
        <v>46</v>
      </c>
      <c r="G289" s="29" t="s">
        <v>26</v>
      </c>
      <c r="H289" s="29" t="s">
        <v>31</v>
      </c>
      <c r="I289" s="29" t="s">
        <v>12</v>
      </c>
      <c r="J289" s="30">
        <v>94</v>
      </c>
      <c r="K289" s="29">
        <v>70</v>
      </c>
      <c r="L289" s="29">
        <v>6580</v>
      </c>
      <c r="M289" s="29">
        <v>6235</v>
      </c>
      <c r="N289" s="29">
        <v>345</v>
      </c>
      <c r="O289" s="29">
        <f t="shared" si="4"/>
        <v>2024</v>
      </c>
      <c r="P289" s="29"/>
      <c r="Q289" s="29"/>
      <c r="R289" s="29"/>
      <c r="S289" s="29"/>
      <c r="T289" s="29"/>
      <c r="U289" s="29"/>
      <c r="V289" s="32"/>
    </row>
    <row r="290" spans="1:22" x14ac:dyDescent="0.35">
      <c r="A290" s="23">
        <v>45593</v>
      </c>
      <c r="B290" s="23" t="s">
        <v>39</v>
      </c>
      <c r="C290" s="24" t="s">
        <v>13</v>
      </c>
      <c r="D290" s="24" t="s">
        <v>48</v>
      </c>
      <c r="E290" s="24" t="s">
        <v>10</v>
      </c>
      <c r="F290" s="24" t="s">
        <v>43</v>
      </c>
      <c r="G290" s="24" t="s">
        <v>11</v>
      </c>
      <c r="H290" s="24" t="s">
        <v>33</v>
      </c>
      <c r="I290" s="24" t="s">
        <v>19</v>
      </c>
      <c r="J290" s="25">
        <v>122</v>
      </c>
      <c r="K290" s="24">
        <v>32</v>
      </c>
      <c r="L290" s="24">
        <v>3904</v>
      </c>
      <c r="M290" s="24">
        <v>2906</v>
      </c>
      <c r="N290" s="24">
        <v>998</v>
      </c>
      <c r="O290" s="24">
        <f t="shared" si="4"/>
        <v>2024</v>
      </c>
      <c r="P290" s="24"/>
      <c r="Q290" s="24"/>
      <c r="R290" s="24"/>
      <c r="S290" s="24"/>
      <c r="T290" s="24"/>
      <c r="U290" s="24"/>
      <c r="V290" s="27"/>
    </row>
    <row r="291" spans="1:22" x14ac:dyDescent="0.35">
      <c r="A291" s="28">
        <v>45594</v>
      </c>
      <c r="B291" s="28" t="s">
        <v>41</v>
      </c>
      <c r="C291" s="29" t="s">
        <v>23</v>
      </c>
      <c r="D291" s="29" t="s">
        <v>53</v>
      </c>
      <c r="E291" s="29" t="s">
        <v>27</v>
      </c>
      <c r="F291" s="29" t="s">
        <v>46</v>
      </c>
      <c r="G291" s="29" t="s">
        <v>26</v>
      </c>
      <c r="H291" s="29" t="s">
        <v>33</v>
      </c>
      <c r="I291" s="29" t="s">
        <v>19</v>
      </c>
      <c r="J291" s="30">
        <v>45</v>
      </c>
      <c r="K291" s="29">
        <v>70</v>
      </c>
      <c r="L291" s="29">
        <v>3150</v>
      </c>
      <c r="M291" s="29">
        <v>2296</v>
      </c>
      <c r="N291" s="29">
        <v>854</v>
      </c>
      <c r="O291" s="29">
        <f t="shared" si="4"/>
        <v>2024</v>
      </c>
      <c r="P291" s="29"/>
      <c r="Q291" s="29"/>
      <c r="R291" s="29"/>
      <c r="S291" s="29"/>
      <c r="T291" s="29"/>
      <c r="U291" s="29"/>
      <c r="V291" s="32"/>
    </row>
    <row r="292" spans="1:22" x14ac:dyDescent="0.35">
      <c r="A292" s="23">
        <v>45595</v>
      </c>
      <c r="B292" s="23" t="s">
        <v>40</v>
      </c>
      <c r="C292" s="24" t="s">
        <v>17</v>
      </c>
      <c r="D292" s="24" t="s">
        <v>55</v>
      </c>
      <c r="E292" s="24" t="s">
        <v>29</v>
      </c>
      <c r="F292" s="24" t="s">
        <v>43</v>
      </c>
      <c r="G292" s="24" t="s">
        <v>11</v>
      </c>
      <c r="H292" s="24" t="s">
        <v>31</v>
      </c>
      <c r="I292" s="24" t="s">
        <v>12</v>
      </c>
      <c r="J292" s="25">
        <v>149</v>
      </c>
      <c r="K292" s="24">
        <v>33</v>
      </c>
      <c r="L292" s="24">
        <v>4917</v>
      </c>
      <c r="M292" s="24">
        <v>4038</v>
      </c>
      <c r="N292" s="24">
        <v>879</v>
      </c>
      <c r="O292" s="24">
        <f t="shared" si="4"/>
        <v>2024</v>
      </c>
      <c r="P292" s="24"/>
      <c r="Q292" s="24"/>
      <c r="R292" s="24"/>
      <c r="S292" s="24"/>
      <c r="T292" s="24"/>
      <c r="U292" s="24"/>
      <c r="V292" s="27"/>
    </row>
    <row r="293" spans="1:22" x14ac:dyDescent="0.35">
      <c r="A293" s="28">
        <v>45596</v>
      </c>
      <c r="B293" s="28" t="s">
        <v>41</v>
      </c>
      <c r="C293" s="29" t="s">
        <v>23</v>
      </c>
      <c r="D293" s="29" t="s">
        <v>55</v>
      </c>
      <c r="E293" s="29" t="s">
        <v>29</v>
      </c>
      <c r="F293" s="29" t="s">
        <v>43</v>
      </c>
      <c r="G293" s="29" t="s">
        <v>11</v>
      </c>
      <c r="H293" s="29" t="s">
        <v>33</v>
      </c>
      <c r="I293" s="29" t="s">
        <v>19</v>
      </c>
      <c r="J293" s="30">
        <v>178</v>
      </c>
      <c r="K293" s="29">
        <v>59</v>
      </c>
      <c r="L293" s="29">
        <v>10502</v>
      </c>
      <c r="M293" s="29">
        <v>10331</v>
      </c>
      <c r="N293" s="29">
        <v>171</v>
      </c>
      <c r="O293" s="29">
        <f t="shared" si="4"/>
        <v>2024</v>
      </c>
      <c r="P293" s="29"/>
      <c r="Q293" s="29"/>
      <c r="R293" s="29"/>
      <c r="S293" s="29"/>
      <c r="T293" s="29"/>
      <c r="U293" s="29"/>
      <c r="V293" s="32"/>
    </row>
    <row r="294" spans="1:22" x14ac:dyDescent="0.35">
      <c r="A294" s="23">
        <v>45597</v>
      </c>
      <c r="B294" s="23" t="s">
        <v>38</v>
      </c>
      <c r="C294" s="24" t="s">
        <v>9</v>
      </c>
      <c r="D294" s="24" t="s">
        <v>52</v>
      </c>
      <c r="E294" s="24" t="s">
        <v>25</v>
      </c>
      <c r="F294" s="24" t="s">
        <v>46</v>
      </c>
      <c r="G294" s="24" t="s">
        <v>26</v>
      </c>
      <c r="H294" s="24" t="s">
        <v>31</v>
      </c>
      <c r="I294" s="24" t="s">
        <v>12</v>
      </c>
      <c r="J294" s="25">
        <v>71</v>
      </c>
      <c r="K294" s="24">
        <v>46</v>
      </c>
      <c r="L294" s="24">
        <v>3266</v>
      </c>
      <c r="M294" s="24">
        <v>3128</v>
      </c>
      <c r="N294" s="24">
        <v>138</v>
      </c>
      <c r="O294" s="24">
        <f t="shared" si="4"/>
        <v>2024</v>
      </c>
      <c r="P294" s="24"/>
      <c r="Q294" s="24"/>
      <c r="R294" s="24"/>
      <c r="S294" s="24"/>
      <c r="T294" s="24"/>
      <c r="U294" s="24"/>
      <c r="V294" s="27"/>
    </row>
    <row r="295" spans="1:22" x14ac:dyDescent="0.35">
      <c r="A295" s="28">
        <v>45598</v>
      </c>
      <c r="B295" s="28" t="s">
        <v>38</v>
      </c>
      <c r="C295" s="29" t="s">
        <v>9</v>
      </c>
      <c r="D295" s="29" t="s">
        <v>48</v>
      </c>
      <c r="E295" s="29" t="s">
        <v>10</v>
      </c>
      <c r="F295" s="29" t="s">
        <v>43</v>
      </c>
      <c r="G295" s="29" t="s">
        <v>11</v>
      </c>
      <c r="H295" s="29" t="s">
        <v>35</v>
      </c>
      <c r="I295" s="29" t="s">
        <v>24</v>
      </c>
      <c r="J295" s="30">
        <v>69</v>
      </c>
      <c r="K295" s="29">
        <v>94</v>
      </c>
      <c r="L295" s="29">
        <v>6486</v>
      </c>
      <c r="M295" s="29">
        <v>5887</v>
      </c>
      <c r="N295" s="29">
        <v>599</v>
      </c>
      <c r="O295" s="29">
        <f t="shared" si="4"/>
        <v>2024</v>
      </c>
      <c r="P295" s="29"/>
      <c r="Q295" s="29"/>
      <c r="R295" s="29"/>
      <c r="S295" s="29"/>
      <c r="T295" s="29"/>
      <c r="U295" s="29"/>
      <c r="V295" s="32"/>
    </row>
    <row r="296" spans="1:22" x14ac:dyDescent="0.35">
      <c r="A296" s="23">
        <v>45599</v>
      </c>
      <c r="B296" s="23" t="s">
        <v>41</v>
      </c>
      <c r="C296" s="24" t="s">
        <v>23</v>
      </c>
      <c r="D296" s="24" t="s">
        <v>50</v>
      </c>
      <c r="E296" s="24" t="s">
        <v>18</v>
      </c>
      <c r="F296" s="24" t="s">
        <v>44</v>
      </c>
      <c r="G296" s="24" t="s">
        <v>15</v>
      </c>
      <c r="H296" s="24" t="s">
        <v>31</v>
      </c>
      <c r="I296" s="24" t="s">
        <v>12</v>
      </c>
      <c r="J296" s="25">
        <v>146</v>
      </c>
      <c r="K296" s="24">
        <v>96</v>
      </c>
      <c r="L296" s="24">
        <v>14016</v>
      </c>
      <c r="M296" s="24">
        <v>13349</v>
      </c>
      <c r="N296" s="24">
        <v>667</v>
      </c>
      <c r="O296" s="24">
        <f t="shared" si="4"/>
        <v>2024</v>
      </c>
      <c r="P296" s="24"/>
      <c r="Q296" s="24"/>
      <c r="R296" s="24"/>
      <c r="S296" s="24"/>
      <c r="T296" s="24"/>
      <c r="U296" s="24"/>
      <c r="V296" s="27"/>
    </row>
    <row r="297" spans="1:22" x14ac:dyDescent="0.35">
      <c r="A297" s="28">
        <v>45600</v>
      </c>
      <c r="B297" s="28" t="s">
        <v>40</v>
      </c>
      <c r="C297" s="29" t="s">
        <v>17</v>
      </c>
      <c r="D297" s="29" t="s">
        <v>51</v>
      </c>
      <c r="E297" s="29" t="s">
        <v>20</v>
      </c>
      <c r="F297" s="29" t="s">
        <v>45</v>
      </c>
      <c r="G297" s="29" t="s">
        <v>21</v>
      </c>
      <c r="H297" s="29" t="s">
        <v>34</v>
      </c>
      <c r="I297" s="29" t="s">
        <v>22</v>
      </c>
      <c r="J297" s="30">
        <v>30</v>
      </c>
      <c r="K297" s="29">
        <v>85</v>
      </c>
      <c r="L297" s="29">
        <v>2550</v>
      </c>
      <c r="M297" s="29">
        <v>1763</v>
      </c>
      <c r="N297" s="29">
        <v>787</v>
      </c>
      <c r="O297" s="29">
        <f t="shared" si="4"/>
        <v>2024</v>
      </c>
      <c r="P297" s="29"/>
      <c r="Q297" s="29"/>
      <c r="R297" s="29"/>
      <c r="S297" s="29"/>
      <c r="T297" s="29"/>
      <c r="U297" s="29"/>
      <c r="V297" s="32"/>
    </row>
    <row r="298" spans="1:22" x14ac:dyDescent="0.35">
      <c r="A298" s="23">
        <v>45601</v>
      </c>
      <c r="B298" s="23" t="s">
        <v>38</v>
      </c>
      <c r="C298" s="24" t="s">
        <v>9</v>
      </c>
      <c r="D298" s="24" t="s">
        <v>55</v>
      </c>
      <c r="E298" s="24" t="s">
        <v>29</v>
      </c>
      <c r="F298" s="24" t="s">
        <v>43</v>
      </c>
      <c r="G298" s="24" t="s">
        <v>11</v>
      </c>
      <c r="H298" s="24" t="s">
        <v>32</v>
      </c>
      <c r="I298" s="24" t="s">
        <v>16</v>
      </c>
      <c r="J298" s="25">
        <v>39</v>
      </c>
      <c r="K298" s="24">
        <v>53</v>
      </c>
      <c r="L298" s="24">
        <v>2067</v>
      </c>
      <c r="M298" s="24">
        <v>1292</v>
      </c>
      <c r="N298" s="24">
        <v>775</v>
      </c>
      <c r="O298" s="24">
        <f t="shared" si="4"/>
        <v>2024</v>
      </c>
      <c r="P298" s="24"/>
      <c r="Q298" s="24"/>
      <c r="R298" s="24"/>
      <c r="S298" s="24"/>
      <c r="T298" s="24"/>
      <c r="U298" s="24"/>
      <c r="V298" s="27"/>
    </row>
    <row r="299" spans="1:22" x14ac:dyDescent="0.35">
      <c r="A299" s="28">
        <v>45602</v>
      </c>
      <c r="B299" s="28" t="s">
        <v>41</v>
      </c>
      <c r="C299" s="29" t="s">
        <v>23</v>
      </c>
      <c r="D299" s="29" t="s">
        <v>50</v>
      </c>
      <c r="E299" s="29" t="s">
        <v>18</v>
      </c>
      <c r="F299" s="29" t="s">
        <v>44</v>
      </c>
      <c r="G299" s="29" t="s">
        <v>15</v>
      </c>
      <c r="H299" s="29" t="s">
        <v>32</v>
      </c>
      <c r="I299" s="29" t="s">
        <v>16</v>
      </c>
      <c r="J299" s="30">
        <v>115</v>
      </c>
      <c r="K299" s="29">
        <v>63</v>
      </c>
      <c r="L299" s="29">
        <v>7245</v>
      </c>
      <c r="M299" s="29">
        <v>6446</v>
      </c>
      <c r="N299" s="29">
        <v>799</v>
      </c>
      <c r="O299" s="29">
        <f t="shared" si="4"/>
        <v>2024</v>
      </c>
      <c r="P299" s="29"/>
      <c r="Q299" s="29"/>
      <c r="R299" s="29"/>
      <c r="S299" s="29"/>
      <c r="T299" s="29"/>
      <c r="U299" s="29"/>
      <c r="V299" s="32"/>
    </row>
    <row r="300" spans="1:22" x14ac:dyDescent="0.35">
      <c r="A300" s="23">
        <v>45603</v>
      </c>
      <c r="B300" s="23" t="s">
        <v>38</v>
      </c>
      <c r="C300" s="24" t="s">
        <v>9</v>
      </c>
      <c r="D300" s="24" t="s">
        <v>51</v>
      </c>
      <c r="E300" s="24" t="s">
        <v>20</v>
      </c>
      <c r="F300" s="24" t="s">
        <v>45</v>
      </c>
      <c r="G300" s="24" t="s">
        <v>21</v>
      </c>
      <c r="H300" s="24" t="s">
        <v>35</v>
      </c>
      <c r="I300" s="24" t="s">
        <v>24</v>
      </c>
      <c r="J300" s="25">
        <v>195</v>
      </c>
      <c r="K300" s="24">
        <v>68</v>
      </c>
      <c r="L300" s="24">
        <v>13260</v>
      </c>
      <c r="M300" s="24">
        <v>12511</v>
      </c>
      <c r="N300" s="24">
        <v>749</v>
      </c>
      <c r="O300" s="24">
        <f t="shared" si="4"/>
        <v>2024</v>
      </c>
      <c r="P300" s="24"/>
      <c r="Q300" s="24"/>
      <c r="R300" s="24"/>
      <c r="S300" s="24"/>
      <c r="T300" s="24"/>
      <c r="U300" s="24"/>
      <c r="V300" s="27"/>
    </row>
    <row r="301" spans="1:22" x14ac:dyDescent="0.35">
      <c r="A301" s="28">
        <v>45604</v>
      </c>
      <c r="B301" s="28" t="s">
        <v>39</v>
      </c>
      <c r="C301" s="29" t="s">
        <v>13</v>
      </c>
      <c r="D301" s="29" t="s">
        <v>54</v>
      </c>
      <c r="E301" s="29" t="s">
        <v>28</v>
      </c>
      <c r="F301" s="29" t="s">
        <v>45</v>
      </c>
      <c r="G301" s="29" t="s">
        <v>21</v>
      </c>
      <c r="H301" s="29" t="s">
        <v>31</v>
      </c>
      <c r="I301" s="29" t="s">
        <v>12</v>
      </c>
      <c r="J301" s="30">
        <v>56</v>
      </c>
      <c r="K301" s="29">
        <v>90</v>
      </c>
      <c r="L301" s="29">
        <v>5040</v>
      </c>
      <c r="M301" s="29">
        <v>4354</v>
      </c>
      <c r="N301" s="29">
        <v>686</v>
      </c>
      <c r="O301" s="29">
        <f t="shared" si="4"/>
        <v>2024</v>
      </c>
      <c r="P301" s="29"/>
      <c r="Q301" s="29"/>
      <c r="R301" s="29"/>
      <c r="S301" s="29"/>
      <c r="T301" s="29"/>
      <c r="U301" s="29"/>
      <c r="V301" s="32"/>
    </row>
    <row r="302" spans="1:22" x14ac:dyDescent="0.35">
      <c r="A302" s="23">
        <v>45605</v>
      </c>
      <c r="B302" s="23" t="s">
        <v>39</v>
      </c>
      <c r="C302" s="24" t="s">
        <v>13</v>
      </c>
      <c r="D302" s="24" t="s">
        <v>55</v>
      </c>
      <c r="E302" s="24" t="s">
        <v>29</v>
      </c>
      <c r="F302" s="24" t="s">
        <v>43</v>
      </c>
      <c r="G302" s="24" t="s">
        <v>11</v>
      </c>
      <c r="H302" s="24" t="s">
        <v>31</v>
      </c>
      <c r="I302" s="24" t="s">
        <v>12</v>
      </c>
      <c r="J302" s="25">
        <v>132</v>
      </c>
      <c r="K302" s="24">
        <v>36</v>
      </c>
      <c r="L302" s="24">
        <v>4752</v>
      </c>
      <c r="M302" s="24">
        <v>3961</v>
      </c>
      <c r="N302" s="24">
        <v>791</v>
      </c>
      <c r="O302" s="24">
        <f t="shared" si="4"/>
        <v>2024</v>
      </c>
      <c r="P302" s="24"/>
      <c r="Q302" s="24"/>
      <c r="R302" s="24"/>
      <c r="S302" s="24"/>
      <c r="T302" s="24"/>
      <c r="U302" s="24"/>
      <c r="V302" s="27"/>
    </row>
    <row r="303" spans="1:22" x14ac:dyDescent="0.35">
      <c r="A303" s="28">
        <v>45606</v>
      </c>
      <c r="B303" s="28" t="s">
        <v>41</v>
      </c>
      <c r="C303" s="29" t="s">
        <v>23</v>
      </c>
      <c r="D303" s="29" t="s">
        <v>54</v>
      </c>
      <c r="E303" s="29" t="s">
        <v>28</v>
      </c>
      <c r="F303" s="29" t="s">
        <v>45</v>
      </c>
      <c r="G303" s="29" t="s">
        <v>21</v>
      </c>
      <c r="H303" s="29" t="s">
        <v>35</v>
      </c>
      <c r="I303" s="29" t="s">
        <v>24</v>
      </c>
      <c r="J303" s="30">
        <v>86</v>
      </c>
      <c r="K303" s="29">
        <v>86</v>
      </c>
      <c r="L303" s="29">
        <v>7396</v>
      </c>
      <c r="M303" s="29">
        <v>7142</v>
      </c>
      <c r="N303" s="29">
        <v>254</v>
      </c>
      <c r="O303" s="29">
        <f t="shared" si="4"/>
        <v>2024</v>
      </c>
      <c r="P303" s="29"/>
      <c r="Q303" s="29"/>
      <c r="R303" s="29"/>
      <c r="S303" s="29"/>
      <c r="T303" s="29"/>
      <c r="U303" s="29"/>
      <c r="V303" s="32"/>
    </row>
    <row r="304" spans="1:22" x14ac:dyDescent="0.35">
      <c r="A304" s="23">
        <v>45607</v>
      </c>
      <c r="B304" s="23" t="s">
        <v>41</v>
      </c>
      <c r="C304" s="24" t="s">
        <v>23</v>
      </c>
      <c r="D304" s="24" t="s">
        <v>52</v>
      </c>
      <c r="E304" s="24" t="s">
        <v>25</v>
      </c>
      <c r="F304" s="24" t="s">
        <v>46</v>
      </c>
      <c r="G304" s="24" t="s">
        <v>26</v>
      </c>
      <c r="H304" s="24" t="s">
        <v>34</v>
      </c>
      <c r="I304" s="24" t="s">
        <v>22</v>
      </c>
      <c r="J304" s="25">
        <v>108</v>
      </c>
      <c r="K304" s="24">
        <v>44</v>
      </c>
      <c r="L304" s="24">
        <v>4752</v>
      </c>
      <c r="M304" s="24">
        <v>4234</v>
      </c>
      <c r="N304" s="24">
        <v>518</v>
      </c>
      <c r="O304" s="24">
        <f t="shared" si="4"/>
        <v>2024</v>
      </c>
      <c r="P304" s="24"/>
      <c r="Q304" s="24"/>
      <c r="R304" s="24"/>
      <c r="S304" s="24"/>
      <c r="T304" s="24"/>
      <c r="U304" s="24"/>
      <c r="V304" s="27"/>
    </row>
    <row r="305" spans="1:22" x14ac:dyDescent="0.35">
      <c r="A305" s="28">
        <v>45608</v>
      </c>
      <c r="B305" s="28" t="s">
        <v>41</v>
      </c>
      <c r="C305" s="29" t="s">
        <v>23</v>
      </c>
      <c r="D305" s="29" t="s">
        <v>54</v>
      </c>
      <c r="E305" s="29" t="s">
        <v>28</v>
      </c>
      <c r="F305" s="29" t="s">
        <v>45</v>
      </c>
      <c r="G305" s="29" t="s">
        <v>21</v>
      </c>
      <c r="H305" s="29" t="s">
        <v>33</v>
      </c>
      <c r="I305" s="29" t="s">
        <v>19</v>
      </c>
      <c r="J305" s="30">
        <v>172</v>
      </c>
      <c r="K305" s="29">
        <v>84</v>
      </c>
      <c r="L305" s="29">
        <v>14448</v>
      </c>
      <c r="M305" s="29">
        <v>14123</v>
      </c>
      <c r="N305" s="29">
        <v>325</v>
      </c>
      <c r="O305" s="29">
        <f t="shared" si="4"/>
        <v>2024</v>
      </c>
      <c r="P305" s="29"/>
      <c r="Q305" s="29"/>
      <c r="R305" s="29"/>
      <c r="S305" s="29"/>
      <c r="T305" s="29"/>
      <c r="U305" s="29"/>
      <c r="V305" s="32"/>
    </row>
    <row r="306" spans="1:22" x14ac:dyDescent="0.35">
      <c r="A306" s="23">
        <v>45609</v>
      </c>
      <c r="B306" s="23" t="s">
        <v>41</v>
      </c>
      <c r="C306" s="24" t="s">
        <v>23</v>
      </c>
      <c r="D306" s="24" t="s">
        <v>51</v>
      </c>
      <c r="E306" s="24" t="s">
        <v>20</v>
      </c>
      <c r="F306" s="24" t="s">
        <v>45</v>
      </c>
      <c r="G306" s="24" t="s">
        <v>21</v>
      </c>
      <c r="H306" s="24" t="s">
        <v>31</v>
      </c>
      <c r="I306" s="24" t="s">
        <v>12</v>
      </c>
      <c r="J306" s="25">
        <v>72</v>
      </c>
      <c r="K306" s="24">
        <v>68</v>
      </c>
      <c r="L306" s="24">
        <v>4896</v>
      </c>
      <c r="M306" s="24">
        <v>4343</v>
      </c>
      <c r="N306" s="24">
        <v>553</v>
      </c>
      <c r="O306" s="24">
        <f t="shared" si="4"/>
        <v>2024</v>
      </c>
      <c r="P306" s="24"/>
      <c r="Q306" s="24"/>
      <c r="R306" s="24"/>
      <c r="S306" s="24"/>
      <c r="T306" s="24"/>
      <c r="U306" s="24"/>
      <c r="V306" s="27"/>
    </row>
    <row r="307" spans="1:22" x14ac:dyDescent="0.35">
      <c r="A307" s="28">
        <v>45610</v>
      </c>
      <c r="B307" s="28" t="s">
        <v>40</v>
      </c>
      <c r="C307" s="29" t="s">
        <v>17</v>
      </c>
      <c r="D307" s="29" t="s">
        <v>48</v>
      </c>
      <c r="E307" s="29" t="s">
        <v>10</v>
      </c>
      <c r="F307" s="29" t="s">
        <v>43</v>
      </c>
      <c r="G307" s="29" t="s">
        <v>11</v>
      </c>
      <c r="H307" s="29" t="s">
        <v>35</v>
      </c>
      <c r="I307" s="29" t="s">
        <v>24</v>
      </c>
      <c r="J307" s="30">
        <v>137</v>
      </c>
      <c r="K307" s="29">
        <v>45</v>
      </c>
      <c r="L307" s="29">
        <v>6165</v>
      </c>
      <c r="M307" s="29">
        <v>5488</v>
      </c>
      <c r="N307" s="29">
        <v>677</v>
      </c>
      <c r="O307" s="29">
        <f t="shared" si="4"/>
        <v>2024</v>
      </c>
      <c r="P307" s="29"/>
      <c r="Q307" s="29"/>
      <c r="R307" s="29"/>
      <c r="S307" s="29"/>
      <c r="T307" s="29"/>
      <c r="U307" s="29"/>
      <c r="V307" s="32"/>
    </row>
    <row r="308" spans="1:22" x14ac:dyDescent="0.35">
      <c r="A308" s="23">
        <v>45611</v>
      </c>
      <c r="B308" s="23" t="s">
        <v>38</v>
      </c>
      <c r="C308" s="24" t="s">
        <v>9</v>
      </c>
      <c r="D308" s="24" t="s">
        <v>54</v>
      </c>
      <c r="E308" s="24" t="s">
        <v>28</v>
      </c>
      <c r="F308" s="24" t="s">
        <v>45</v>
      </c>
      <c r="G308" s="24" t="s">
        <v>21</v>
      </c>
      <c r="H308" s="24" t="s">
        <v>31</v>
      </c>
      <c r="I308" s="24" t="s">
        <v>12</v>
      </c>
      <c r="J308" s="25">
        <v>30</v>
      </c>
      <c r="K308" s="24">
        <v>79</v>
      </c>
      <c r="L308" s="24">
        <v>2370</v>
      </c>
      <c r="M308" s="24">
        <v>2085</v>
      </c>
      <c r="N308" s="24">
        <v>285</v>
      </c>
      <c r="O308" s="24">
        <f t="shared" si="4"/>
        <v>2024</v>
      </c>
      <c r="P308" s="24"/>
      <c r="Q308" s="24"/>
      <c r="R308" s="24"/>
      <c r="S308" s="24"/>
      <c r="T308" s="24"/>
      <c r="U308" s="24"/>
      <c r="V308" s="27"/>
    </row>
    <row r="309" spans="1:22" x14ac:dyDescent="0.35">
      <c r="A309" s="28">
        <v>45612</v>
      </c>
      <c r="B309" s="28" t="s">
        <v>41</v>
      </c>
      <c r="C309" s="29" t="s">
        <v>23</v>
      </c>
      <c r="D309" s="29" t="s">
        <v>48</v>
      </c>
      <c r="E309" s="29" t="s">
        <v>10</v>
      </c>
      <c r="F309" s="29" t="s">
        <v>43</v>
      </c>
      <c r="G309" s="29" t="s">
        <v>11</v>
      </c>
      <c r="H309" s="29" t="s">
        <v>34</v>
      </c>
      <c r="I309" s="29" t="s">
        <v>22</v>
      </c>
      <c r="J309" s="30">
        <v>200</v>
      </c>
      <c r="K309" s="29">
        <v>69</v>
      </c>
      <c r="L309" s="29">
        <v>13800</v>
      </c>
      <c r="M309" s="29">
        <v>13347</v>
      </c>
      <c r="N309" s="29">
        <v>453</v>
      </c>
      <c r="O309" s="29">
        <f t="shared" si="4"/>
        <v>2024</v>
      </c>
      <c r="P309" s="29"/>
      <c r="Q309" s="29"/>
      <c r="R309" s="29"/>
      <c r="S309" s="29"/>
      <c r="T309" s="29"/>
      <c r="U309" s="29"/>
      <c r="V309" s="32"/>
    </row>
    <row r="310" spans="1:22" x14ac:dyDescent="0.35">
      <c r="A310" s="23">
        <v>45613</v>
      </c>
      <c r="B310" s="23" t="s">
        <v>41</v>
      </c>
      <c r="C310" s="24" t="s">
        <v>23</v>
      </c>
      <c r="D310" s="24" t="s">
        <v>50</v>
      </c>
      <c r="E310" s="24" t="s">
        <v>18</v>
      </c>
      <c r="F310" s="24" t="s">
        <v>44</v>
      </c>
      <c r="G310" s="24" t="s">
        <v>15</v>
      </c>
      <c r="H310" s="24" t="s">
        <v>34</v>
      </c>
      <c r="I310" s="24" t="s">
        <v>22</v>
      </c>
      <c r="J310" s="25">
        <v>172</v>
      </c>
      <c r="K310" s="24">
        <v>70</v>
      </c>
      <c r="L310" s="24">
        <v>12040</v>
      </c>
      <c r="M310" s="24">
        <v>11776</v>
      </c>
      <c r="N310" s="24">
        <v>264</v>
      </c>
      <c r="O310" s="24">
        <f t="shared" si="4"/>
        <v>2024</v>
      </c>
      <c r="P310" s="24"/>
      <c r="Q310" s="24"/>
      <c r="R310" s="24"/>
      <c r="S310" s="24"/>
      <c r="T310" s="24"/>
      <c r="U310" s="24"/>
      <c r="V310" s="27"/>
    </row>
    <row r="311" spans="1:22" x14ac:dyDescent="0.35">
      <c r="A311" s="28">
        <v>45614</v>
      </c>
      <c r="B311" s="28" t="s">
        <v>38</v>
      </c>
      <c r="C311" s="29" t="s">
        <v>9</v>
      </c>
      <c r="D311" s="29" t="s">
        <v>55</v>
      </c>
      <c r="E311" s="29" t="s">
        <v>29</v>
      </c>
      <c r="F311" s="29" t="s">
        <v>43</v>
      </c>
      <c r="G311" s="29" t="s">
        <v>11</v>
      </c>
      <c r="H311" s="29" t="s">
        <v>31</v>
      </c>
      <c r="I311" s="29" t="s">
        <v>12</v>
      </c>
      <c r="J311" s="30">
        <v>24</v>
      </c>
      <c r="K311" s="29">
        <v>74</v>
      </c>
      <c r="L311" s="29">
        <v>1776</v>
      </c>
      <c r="M311" s="29">
        <v>934</v>
      </c>
      <c r="N311" s="29">
        <v>842</v>
      </c>
      <c r="O311" s="29">
        <f t="shared" si="4"/>
        <v>2024</v>
      </c>
      <c r="P311" s="29"/>
      <c r="Q311" s="29"/>
      <c r="R311" s="29"/>
      <c r="S311" s="29"/>
      <c r="T311" s="29"/>
      <c r="U311" s="29"/>
      <c r="V311" s="32"/>
    </row>
    <row r="312" spans="1:22" x14ac:dyDescent="0.35">
      <c r="A312" s="23">
        <v>45615</v>
      </c>
      <c r="B312" s="23" t="s">
        <v>41</v>
      </c>
      <c r="C312" s="24" t="s">
        <v>23</v>
      </c>
      <c r="D312" s="24" t="s">
        <v>49</v>
      </c>
      <c r="E312" s="24" t="s">
        <v>14</v>
      </c>
      <c r="F312" s="24" t="s">
        <v>44</v>
      </c>
      <c r="G312" s="24" t="s">
        <v>15</v>
      </c>
      <c r="H312" s="24" t="s">
        <v>35</v>
      </c>
      <c r="I312" s="24" t="s">
        <v>24</v>
      </c>
      <c r="J312" s="25">
        <v>149</v>
      </c>
      <c r="K312" s="24">
        <v>80</v>
      </c>
      <c r="L312" s="24">
        <v>11920</v>
      </c>
      <c r="M312" s="24">
        <v>11418</v>
      </c>
      <c r="N312" s="24">
        <v>502</v>
      </c>
      <c r="O312" s="24">
        <f t="shared" si="4"/>
        <v>2024</v>
      </c>
      <c r="P312" s="24"/>
      <c r="Q312" s="24"/>
      <c r="R312" s="24"/>
      <c r="S312" s="24"/>
      <c r="T312" s="24"/>
      <c r="U312" s="24"/>
      <c r="V312" s="27"/>
    </row>
    <row r="313" spans="1:22" x14ac:dyDescent="0.35">
      <c r="A313" s="28">
        <v>45616</v>
      </c>
      <c r="B313" s="28" t="s">
        <v>38</v>
      </c>
      <c r="C313" s="29" t="s">
        <v>9</v>
      </c>
      <c r="D313" s="29" t="s">
        <v>55</v>
      </c>
      <c r="E313" s="29" t="s">
        <v>29</v>
      </c>
      <c r="F313" s="29" t="s">
        <v>43</v>
      </c>
      <c r="G313" s="29" t="s">
        <v>11</v>
      </c>
      <c r="H313" s="29" t="s">
        <v>34</v>
      </c>
      <c r="I313" s="29" t="s">
        <v>22</v>
      </c>
      <c r="J313" s="30">
        <v>48</v>
      </c>
      <c r="K313" s="29">
        <v>81</v>
      </c>
      <c r="L313" s="29">
        <v>3888</v>
      </c>
      <c r="M313" s="29">
        <v>3586</v>
      </c>
      <c r="N313" s="29">
        <v>302</v>
      </c>
      <c r="O313" s="29">
        <f t="shared" si="4"/>
        <v>2024</v>
      </c>
      <c r="P313" s="29"/>
      <c r="Q313" s="29"/>
      <c r="R313" s="29"/>
      <c r="S313" s="29"/>
      <c r="T313" s="29"/>
      <c r="U313" s="29"/>
      <c r="V313" s="32"/>
    </row>
    <row r="314" spans="1:22" x14ac:dyDescent="0.35">
      <c r="A314" s="23">
        <v>45617</v>
      </c>
      <c r="B314" s="23" t="s">
        <v>39</v>
      </c>
      <c r="C314" s="24" t="s">
        <v>13</v>
      </c>
      <c r="D314" s="24" t="s">
        <v>49</v>
      </c>
      <c r="E314" s="24" t="s">
        <v>14</v>
      </c>
      <c r="F314" s="24" t="s">
        <v>44</v>
      </c>
      <c r="G314" s="24" t="s">
        <v>15</v>
      </c>
      <c r="H314" s="24" t="s">
        <v>33</v>
      </c>
      <c r="I314" s="24" t="s">
        <v>19</v>
      </c>
      <c r="J314" s="25">
        <v>36</v>
      </c>
      <c r="K314" s="24">
        <v>31</v>
      </c>
      <c r="L314" s="24">
        <v>1116</v>
      </c>
      <c r="M314" s="24">
        <v>722</v>
      </c>
      <c r="N314" s="24">
        <v>394</v>
      </c>
      <c r="O314" s="24">
        <f t="shared" si="4"/>
        <v>2024</v>
      </c>
      <c r="P314" s="24"/>
      <c r="Q314" s="24"/>
      <c r="R314" s="24"/>
      <c r="S314" s="24"/>
      <c r="T314" s="24"/>
      <c r="U314" s="24"/>
      <c r="V314" s="27"/>
    </row>
    <row r="315" spans="1:22" x14ac:dyDescent="0.35">
      <c r="A315" s="28">
        <v>45618</v>
      </c>
      <c r="B315" s="28" t="s">
        <v>38</v>
      </c>
      <c r="C315" s="29" t="s">
        <v>9</v>
      </c>
      <c r="D315" s="29" t="s">
        <v>52</v>
      </c>
      <c r="E315" s="29" t="s">
        <v>25</v>
      </c>
      <c r="F315" s="29" t="s">
        <v>46</v>
      </c>
      <c r="G315" s="29" t="s">
        <v>26</v>
      </c>
      <c r="H315" s="29" t="s">
        <v>33</v>
      </c>
      <c r="I315" s="29" t="s">
        <v>19</v>
      </c>
      <c r="J315" s="30">
        <v>107</v>
      </c>
      <c r="K315" s="29">
        <v>42</v>
      </c>
      <c r="L315" s="29">
        <v>4494</v>
      </c>
      <c r="M315" s="29">
        <v>3819</v>
      </c>
      <c r="N315" s="29">
        <v>675</v>
      </c>
      <c r="O315" s="29">
        <f t="shared" si="4"/>
        <v>2024</v>
      </c>
      <c r="P315" s="29"/>
      <c r="Q315" s="29"/>
      <c r="R315" s="29"/>
      <c r="S315" s="29"/>
      <c r="T315" s="29"/>
      <c r="U315" s="29"/>
      <c r="V315" s="32"/>
    </row>
    <row r="316" spans="1:22" x14ac:dyDescent="0.35">
      <c r="A316" s="23">
        <v>45619</v>
      </c>
      <c r="B316" s="23" t="s">
        <v>38</v>
      </c>
      <c r="C316" s="24" t="s">
        <v>9</v>
      </c>
      <c r="D316" s="24" t="s">
        <v>49</v>
      </c>
      <c r="E316" s="24" t="s">
        <v>14</v>
      </c>
      <c r="F316" s="24" t="s">
        <v>44</v>
      </c>
      <c r="G316" s="24" t="s">
        <v>15</v>
      </c>
      <c r="H316" s="24" t="s">
        <v>34</v>
      </c>
      <c r="I316" s="24" t="s">
        <v>22</v>
      </c>
      <c r="J316" s="25">
        <v>142</v>
      </c>
      <c r="K316" s="24">
        <v>36</v>
      </c>
      <c r="L316" s="24">
        <v>5112</v>
      </c>
      <c r="M316" s="24">
        <v>4366</v>
      </c>
      <c r="N316" s="24">
        <v>746</v>
      </c>
      <c r="O316" s="24">
        <f t="shared" si="4"/>
        <v>2024</v>
      </c>
      <c r="P316" s="24"/>
      <c r="Q316" s="24"/>
      <c r="R316" s="24"/>
      <c r="S316" s="24"/>
      <c r="T316" s="24"/>
      <c r="U316" s="24"/>
      <c r="V316" s="27"/>
    </row>
    <row r="317" spans="1:22" x14ac:dyDescent="0.35">
      <c r="A317" s="28">
        <v>45620</v>
      </c>
      <c r="B317" s="28" t="s">
        <v>40</v>
      </c>
      <c r="C317" s="29" t="s">
        <v>17</v>
      </c>
      <c r="D317" s="29" t="s">
        <v>51</v>
      </c>
      <c r="E317" s="29" t="s">
        <v>20</v>
      </c>
      <c r="F317" s="29" t="s">
        <v>45</v>
      </c>
      <c r="G317" s="29" t="s">
        <v>21</v>
      </c>
      <c r="H317" s="29" t="s">
        <v>33</v>
      </c>
      <c r="I317" s="29" t="s">
        <v>19</v>
      </c>
      <c r="J317" s="30">
        <v>170</v>
      </c>
      <c r="K317" s="29">
        <v>60</v>
      </c>
      <c r="L317" s="29">
        <v>10200</v>
      </c>
      <c r="M317" s="29">
        <v>9332</v>
      </c>
      <c r="N317" s="29">
        <v>868</v>
      </c>
      <c r="O317" s="29">
        <f t="shared" si="4"/>
        <v>2024</v>
      </c>
      <c r="P317" s="29"/>
      <c r="Q317" s="29"/>
      <c r="R317" s="29"/>
      <c r="S317" s="29"/>
      <c r="T317" s="29"/>
      <c r="U317" s="29"/>
      <c r="V317" s="32"/>
    </row>
    <row r="318" spans="1:22" x14ac:dyDescent="0.35">
      <c r="A318" s="23">
        <v>45621</v>
      </c>
      <c r="B318" s="23" t="s">
        <v>39</v>
      </c>
      <c r="C318" s="24" t="s">
        <v>13</v>
      </c>
      <c r="D318" s="24" t="s">
        <v>53</v>
      </c>
      <c r="E318" s="24" t="s">
        <v>27</v>
      </c>
      <c r="F318" s="24" t="s">
        <v>46</v>
      </c>
      <c r="G318" s="24" t="s">
        <v>26</v>
      </c>
      <c r="H318" s="24" t="s">
        <v>33</v>
      </c>
      <c r="I318" s="24" t="s">
        <v>19</v>
      </c>
      <c r="J318" s="25">
        <v>64</v>
      </c>
      <c r="K318" s="24">
        <v>58</v>
      </c>
      <c r="L318" s="24">
        <v>3712</v>
      </c>
      <c r="M318" s="24">
        <v>2829</v>
      </c>
      <c r="N318" s="24">
        <v>883</v>
      </c>
      <c r="O318" s="24">
        <f t="shared" si="4"/>
        <v>2024</v>
      </c>
      <c r="P318" s="24"/>
      <c r="Q318" s="24"/>
      <c r="R318" s="24"/>
      <c r="S318" s="24"/>
      <c r="T318" s="24"/>
      <c r="U318" s="24"/>
      <c r="V318" s="27"/>
    </row>
    <row r="319" spans="1:22" x14ac:dyDescent="0.35">
      <c r="A319" s="28">
        <v>45622</v>
      </c>
      <c r="B319" s="28" t="s">
        <v>39</v>
      </c>
      <c r="C319" s="29" t="s">
        <v>13</v>
      </c>
      <c r="D319" s="29" t="s">
        <v>48</v>
      </c>
      <c r="E319" s="29" t="s">
        <v>10</v>
      </c>
      <c r="F319" s="29" t="s">
        <v>43</v>
      </c>
      <c r="G319" s="29" t="s">
        <v>11</v>
      </c>
      <c r="H319" s="29" t="s">
        <v>32</v>
      </c>
      <c r="I319" s="29" t="s">
        <v>16</v>
      </c>
      <c r="J319" s="30">
        <v>157</v>
      </c>
      <c r="K319" s="29">
        <v>91</v>
      </c>
      <c r="L319" s="29">
        <v>14287</v>
      </c>
      <c r="M319" s="29">
        <v>13807</v>
      </c>
      <c r="N319" s="29">
        <v>480</v>
      </c>
      <c r="O319" s="29">
        <f t="shared" si="4"/>
        <v>2024</v>
      </c>
      <c r="P319" s="29"/>
      <c r="Q319" s="29"/>
      <c r="R319" s="29"/>
      <c r="S319" s="29"/>
      <c r="T319" s="29"/>
      <c r="U319" s="29"/>
      <c r="V319" s="32"/>
    </row>
    <row r="320" spans="1:22" x14ac:dyDescent="0.35">
      <c r="A320" s="23">
        <v>45623</v>
      </c>
      <c r="B320" s="23" t="s">
        <v>41</v>
      </c>
      <c r="C320" s="24" t="s">
        <v>23</v>
      </c>
      <c r="D320" s="24" t="s">
        <v>49</v>
      </c>
      <c r="E320" s="24" t="s">
        <v>14</v>
      </c>
      <c r="F320" s="24" t="s">
        <v>44</v>
      </c>
      <c r="G320" s="24" t="s">
        <v>15</v>
      </c>
      <c r="H320" s="24" t="s">
        <v>31</v>
      </c>
      <c r="I320" s="24" t="s">
        <v>12</v>
      </c>
      <c r="J320" s="25">
        <v>154</v>
      </c>
      <c r="K320" s="24">
        <v>38</v>
      </c>
      <c r="L320" s="24">
        <v>5852</v>
      </c>
      <c r="M320" s="24">
        <v>5625</v>
      </c>
      <c r="N320" s="24">
        <v>227</v>
      </c>
      <c r="O320" s="24">
        <f t="shared" si="4"/>
        <v>2024</v>
      </c>
      <c r="P320" s="24"/>
      <c r="Q320" s="24"/>
      <c r="R320" s="24"/>
      <c r="S320" s="24"/>
      <c r="T320" s="24"/>
      <c r="U320" s="24"/>
      <c r="V320" s="27"/>
    </row>
    <row r="321" spans="1:22" x14ac:dyDescent="0.35">
      <c r="A321" s="28">
        <v>45624</v>
      </c>
      <c r="B321" s="28" t="s">
        <v>41</v>
      </c>
      <c r="C321" s="29" t="s">
        <v>23</v>
      </c>
      <c r="D321" s="29" t="s">
        <v>49</v>
      </c>
      <c r="E321" s="29" t="s">
        <v>14</v>
      </c>
      <c r="F321" s="29" t="s">
        <v>44</v>
      </c>
      <c r="G321" s="29" t="s">
        <v>15</v>
      </c>
      <c r="H321" s="29" t="s">
        <v>33</v>
      </c>
      <c r="I321" s="29" t="s">
        <v>19</v>
      </c>
      <c r="J321" s="30">
        <v>101</v>
      </c>
      <c r="K321" s="29">
        <v>95</v>
      </c>
      <c r="L321" s="29">
        <v>9595</v>
      </c>
      <c r="M321" s="29">
        <v>8998</v>
      </c>
      <c r="N321" s="29">
        <v>597</v>
      </c>
      <c r="O321" s="29">
        <f t="shared" si="4"/>
        <v>2024</v>
      </c>
      <c r="P321" s="29"/>
      <c r="Q321" s="29"/>
      <c r="R321" s="29"/>
      <c r="S321" s="29"/>
      <c r="T321" s="29"/>
      <c r="U321" s="29"/>
      <c r="V321" s="32"/>
    </row>
    <row r="322" spans="1:22" x14ac:dyDescent="0.35">
      <c r="A322" s="23">
        <v>45625</v>
      </c>
      <c r="B322" s="23" t="s">
        <v>41</v>
      </c>
      <c r="C322" s="24" t="s">
        <v>23</v>
      </c>
      <c r="D322" s="24" t="s">
        <v>50</v>
      </c>
      <c r="E322" s="24" t="s">
        <v>18</v>
      </c>
      <c r="F322" s="24" t="s">
        <v>44</v>
      </c>
      <c r="G322" s="24" t="s">
        <v>15</v>
      </c>
      <c r="H322" s="24" t="s">
        <v>32</v>
      </c>
      <c r="I322" s="24" t="s">
        <v>16</v>
      </c>
      <c r="J322" s="25">
        <v>169</v>
      </c>
      <c r="K322" s="24">
        <v>43</v>
      </c>
      <c r="L322" s="24">
        <v>7267</v>
      </c>
      <c r="M322" s="24">
        <v>6918</v>
      </c>
      <c r="N322" s="24">
        <v>349</v>
      </c>
      <c r="O322" s="24">
        <f t="shared" si="4"/>
        <v>2024</v>
      </c>
      <c r="P322" s="24"/>
      <c r="Q322" s="24"/>
      <c r="R322" s="24"/>
      <c r="S322" s="24"/>
      <c r="T322" s="24"/>
      <c r="U322" s="24"/>
      <c r="V322" s="27"/>
    </row>
    <row r="323" spans="1:22" x14ac:dyDescent="0.35">
      <c r="A323" s="28">
        <v>45626</v>
      </c>
      <c r="B323" s="28" t="s">
        <v>38</v>
      </c>
      <c r="C323" s="29" t="s">
        <v>9</v>
      </c>
      <c r="D323" s="29" t="s">
        <v>48</v>
      </c>
      <c r="E323" s="29" t="s">
        <v>10</v>
      </c>
      <c r="F323" s="29" t="s">
        <v>43</v>
      </c>
      <c r="G323" s="29" t="s">
        <v>11</v>
      </c>
      <c r="H323" s="29" t="s">
        <v>35</v>
      </c>
      <c r="I323" s="29" t="s">
        <v>24</v>
      </c>
      <c r="J323" s="30">
        <v>104</v>
      </c>
      <c r="K323" s="29">
        <v>52</v>
      </c>
      <c r="L323" s="29">
        <v>5408</v>
      </c>
      <c r="M323" s="29">
        <v>4895</v>
      </c>
      <c r="N323" s="29">
        <v>513</v>
      </c>
      <c r="O323" s="29">
        <f t="shared" ref="O323:O386" si="5">YEAR(A323)</f>
        <v>2024</v>
      </c>
      <c r="P323" s="29"/>
      <c r="Q323" s="29"/>
      <c r="R323" s="29"/>
      <c r="S323" s="29"/>
      <c r="T323" s="29"/>
      <c r="U323" s="29"/>
      <c r="V323" s="32"/>
    </row>
    <row r="324" spans="1:22" x14ac:dyDescent="0.35">
      <c r="A324" s="23">
        <v>45627</v>
      </c>
      <c r="B324" s="23" t="s">
        <v>40</v>
      </c>
      <c r="C324" s="24" t="s">
        <v>17</v>
      </c>
      <c r="D324" s="24" t="s">
        <v>53</v>
      </c>
      <c r="E324" s="24" t="s">
        <v>27</v>
      </c>
      <c r="F324" s="24" t="s">
        <v>46</v>
      </c>
      <c r="G324" s="24" t="s">
        <v>26</v>
      </c>
      <c r="H324" s="24" t="s">
        <v>34</v>
      </c>
      <c r="I324" s="24" t="s">
        <v>22</v>
      </c>
      <c r="J324" s="25">
        <v>168</v>
      </c>
      <c r="K324" s="24">
        <v>72</v>
      </c>
      <c r="L324" s="24">
        <v>12096</v>
      </c>
      <c r="M324" s="24">
        <v>11411</v>
      </c>
      <c r="N324" s="24">
        <v>685</v>
      </c>
      <c r="O324" s="24">
        <f t="shared" si="5"/>
        <v>2024</v>
      </c>
      <c r="P324" s="24"/>
      <c r="Q324" s="24"/>
      <c r="R324" s="24"/>
      <c r="S324" s="24"/>
      <c r="T324" s="24"/>
      <c r="U324" s="24"/>
      <c r="V324" s="27"/>
    </row>
    <row r="325" spans="1:22" x14ac:dyDescent="0.35">
      <c r="A325" s="28">
        <v>45628</v>
      </c>
      <c r="B325" s="28" t="s">
        <v>38</v>
      </c>
      <c r="C325" s="29" t="s">
        <v>9</v>
      </c>
      <c r="D325" s="29" t="s">
        <v>49</v>
      </c>
      <c r="E325" s="29" t="s">
        <v>14</v>
      </c>
      <c r="F325" s="29" t="s">
        <v>44</v>
      </c>
      <c r="G325" s="29" t="s">
        <v>15</v>
      </c>
      <c r="H325" s="29" t="s">
        <v>31</v>
      </c>
      <c r="I325" s="29" t="s">
        <v>12</v>
      </c>
      <c r="J325" s="30">
        <v>179</v>
      </c>
      <c r="K325" s="29">
        <v>84</v>
      </c>
      <c r="L325" s="29">
        <v>15036</v>
      </c>
      <c r="M325" s="29">
        <v>14464</v>
      </c>
      <c r="N325" s="29">
        <v>572</v>
      </c>
      <c r="O325" s="29">
        <f t="shared" si="5"/>
        <v>2024</v>
      </c>
      <c r="P325" s="29"/>
      <c r="Q325" s="29"/>
      <c r="R325" s="29"/>
      <c r="S325" s="29"/>
      <c r="T325" s="29"/>
      <c r="U325" s="29"/>
      <c r="V325" s="32"/>
    </row>
    <row r="326" spans="1:22" x14ac:dyDescent="0.35">
      <c r="A326" s="23">
        <v>45629</v>
      </c>
      <c r="B326" s="23" t="s">
        <v>39</v>
      </c>
      <c r="C326" s="24" t="s">
        <v>13</v>
      </c>
      <c r="D326" s="24" t="s">
        <v>53</v>
      </c>
      <c r="E326" s="24" t="s">
        <v>27</v>
      </c>
      <c r="F326" s="24" t="s">
        <v>46</v>
      </c>
      <c r="G326" s="24" t="s">
        <v>26</v>
      </c>
      <c r="H326" s="24" t="s">
        <v>34</v>
      </c>
      <c r="I326" s="24" t="s">
        <v>22</v>
      </c>
      <c r="J326" s="25">
        <v>116</v>
      </c>
      <c r="K326" s="24">
        <v>83</v>
      </c>
      <c r="L326" s="24">
        <v>9628</v>
      </c>
      <c r="M326" s="24">
        <v>8995</v>
      </c>
      <c r="N326" s="24">
        <v>633</v>
      </c>
      <c r="O326" s="24">
        <f t="shared" si="5"/>
        <v>2024</v>
      </c>
      <c r="P326" s="24"/>
      <c r="Q326" s="24"/>
      <c r="R326" s="24"/>
      <c r="S326" s="24"/>
      <c r="T326" s="24"/>
      <c r="U326" s="24"/>
      <c r="V326" s="27"/>
    </row>
    <row r="327" spans="1:22" x14ac:dyDescent="0.35">
      <c r="A327" s="28">
        <v>45630</v>
      </c>
      <c r="B327" s="28" t="s">
        <v>38</v>
      </c>
      <c r="C327" s="29" t="s">
        <v>9</v>
      </c>
      <c r="D327" s="29" t="s">
        <v>51</v>
      </c>
      <c r="E327" s="29" t="s">
        <v>20</v>
      </c>
      <c r="F327" s="29" t="s">
        <v>45</v>
      </c>
      <c r="G327" s="29" t="s">
        <v>21</v>
      </c>
      <c r="H327" s="29" t="s">
        <v>33</v>
      </c>
      <c r="I327" s="29" t="s">
        <v>19</v>
      </c>
      <c r="J327" s="30">
        <v>87</v>
      </c>
      <c r="K327" s="29">
        <v>33</v>
      </c>
      <c r="L327" s="29">
        <v>2871</v>
      </c>
      <c r="M327" s="29">
        <v>1884</v>
      </c>
      <c r="N327" s="29">
        <v>987</v>
      </c>
      <c r="O327" s="29">
        <f t="shared" si="5"/>
        <v>2024</v>
      </c>
      <c r="P327" s="29"/>
      <c r="Q327" s="29"/>
      <c r="R327" s="29"/>
      <c r="S327" s="29"/>
      <c r="T327" s="29"/>
      <c r="U327" s="29"/>
      <c r="V327" s="32"/>
    </row>
    <row r="328" spans="1:22" x14ac:dyDescent="0.35">
      <c r="A328" s="23">
        <v>45631</v>
      </c>
      <c r="B328" s="23" t="s">
        <v>38</v>
      </c>
      <c r="C328" s="24" t="s">
        <v>9</v>
      </c>
      <c r="D328" s="24" t="s">
        <v>52</v>
      </c>
      <c r="E328" s="24" t="s">
        <v>25</v>
      </c>
      <c r="F328" s="24" t="s">
        <v>46</v>
      </c>
      <c r="G328" s="24" t="s">
        <v>26</v>
      </c>
      <c r="H328" s="24" t="s">
        <v>33</v>
      </c>
      <c r="I328" s="24" t="s">
        <v>19</v>
      </c>
      <c r="J328" s="25">
        <v>142</v>
      </c>
      <c r="K328" s="24">
        <v>33</v>
      </c>
      <c r="L328" s="24">
        <v>4686</v>
      </c>
      <c r="M328" s="24">
        <v>4069</v>
      </c>
      <c r="N328" s="24">
        <v>617</v>
      </c>
      <c r="O328" s="24">
        <f t="shared" si="5"/>
        <v>2024</v>
      </c>
      <c r="P328" s="24"/>
      <c r="Q328" s="24"/>
      <c r="R328" s="24"/>
      <c r="S328" s="24"/>
      <c r="T328" s="24"/>
      <c r="U328" s="24"/>
      <c r="V328" s="27"/>
    </row>
    <row r="329" spans="1:22" x14ac:dyDescent="0.35">
      <c r="A329" s="28">
        <v>45632</v>
      </c>
      <c r="B329" s="28" t="s">
        <v>41</v>
      </c>
      <c r="C329" s="29" t="s">
        <v>23</v>
      </c>
      <c r="D329" s="29" t="s">
        <v>55</v>
      </c>
      <c r="E329" s="29" t="s">
        <v>29</v>
      </c>
      <c r="F329" s="29" t="s">
        <v>43</v>
      </c>
      <c r="G329" s="29" t="s">
        <v>11</v>
      </c>
      <c r="H329" s="29" t="s">
        <v>35</v>
      </c>
      <c r="I329" s="29" t="s">
        <v>24</v>
      </c>
      <c r="J329" s="30">
        <v>21</v>
      </c>
      <c r="K329" s="29">
        <v>49</v>
      </c>
      <c r="L329" s="29">
        <v>1029</v>
      </c>
      <c r="M329" s="29">
        <v>928</v>
      </c>
      <c r="N329" s="29">
        <v>101</v>
      </c>
      <c r="O329" s="29">
        <f t="shared" si="5"/>
        <v>2024</v>
      </c>
      <c r="P329" s="29"/>
      <c r="Q329" s="29"/>
      <c r="R329" s="29"/>
      <c r="S329" s="29"/>
      <c r="T329" s="29"/>
      <c r="U329" s="29"/>
      <c r="V329" s="32"/>
    </row>
    <row r="330" spans="1:22" x14ac:dyDescent="0.35">
      <c r="A330" s="23">
        <v>45633</v>
      </c>
      <c r="B330" s="23" t="s">
        <v>40</v>
      </c>
      <c r="C330" s="24" t="s">
        <v>17</v>
      </c>
      <c r="D330" s="24" t="s">
        <v>50</v>
      </c>
      <c r="E330" s="24" t="s">
        <v>18</v>
      </c>
      <c r="F330" s="24" t="s">
        <v>44</v>
      </c>
      <c r="G330" s="24" t="s">
        <v>15</v>
      </c>
      <c r="H330" s="24" t="s">
        <v>35</v>
      </c>
      <c r="I330" s="24" t="s">
        <v>24</v>
      </c>
      <c r="J330" s="25">
        <v>113</v>
      </c>
      <c r="K330" s="24">
        <v>75</v>
      </c>
      <c r="L330" s="24">
        <v>8475</v>
      </c>
      <c r="M330" s="24">
        <v>7585</v>
      </c>
      <c r="N330" s="24">
        <v>890</v>
      </c>
      <c r="O330" s="24">
        <f t="shared" si="5"/>
        <v>2024</v>
      </c>
      <c r="P330" s="24"/>
      <c r="Q330" s="24"/>
      <c r="R330" s="24"/>
      <c r="S330" s="24"/>
      <c r="T330" s="24"/>
      <c r="U330" s="24"/>
      <c r="V330" s="27"/>
    </row>
    <row r="331" spans="1:22" x14ac:dyDescent="0.35">
      <c r="A331" s="28">
        <v>45634</v>
      </c>
      <c r="B331" s="28" t="s">
        <v>39</v>
      </c>
      <c r="C331" s="29" t="s">
        <v>13</v>
      </c>
      <c r="D331" s="29" t="s">
        <v>50</v>
      </c>
      <c r="E331" s="29" t="s">
        <v>18</v>
      </c>
      <c r="F331" s="29" t="s">
        <v>44</v>
      </c>
      <c r="G331" s="29" t="s">
        <v>15</v>
      </c>
      <c r="H331" s="29" t="s">
        <v>31</v>
      </c>
      <c r="I331" s="29" t="s">
        <v>12</v>
      </c>
      <c r="J331" s="30">
        <v>46</v>
      </c>
      <c r="K331" s="29">
        <v>62</v>
      </c>
      <c r="L331" s="29">
        <v>2852</v>
      </c>
      <c r="M331" s="29">
        <v>1968</v>
      </c>
      <c r="N331" s="29">
        <v>884</v>
      </c>
      <c r="O331" s="29">
        <f t="shared" si="5"/>
        <v>2024</v>
      </c>
      <c r="P331" s="29"/>
      <c r="Q331" s="29"/>
      <c r="R331" s="29"/>
      <c r="S331" s="29"/>
      <c r="T331" s="29"/>
      <c r="U331" s="29"/>
      <c r="V331" s="32"/>
    </row>
    <row r="332" spans="1:22" x14ac:dyDescent="0.35">
      <c r="A332" s="23">
        <v>45635</v>
      </c>
      <c r="B332" s="23" t="s">
        <v>39</v>
      </c>
      <c r="C332" s="24" t="s">
        <v>13</v>
      </c>
      <c r="D332" s="24" t="s">
        <v>54</v>
      </c>
      <c r="E332" s="24" t="s">
        <v>28</v>
      </c>
      <c r="F332" s="24" t="s">
        <v>45</v>
      </c>
      <c r="G332" s="24" t="s">
        <v>21</v>
      </c>
      <c r="H332" s="24" t="s">
        <v>31</v>
      </c>
      <c r="I332" s="24" t="s">
        <v>12</v>
      </c>
      <c r="J332" s="25">
        <v>45</v>
      </c>
      <c r="K332" s="24">
        <v>48</v>
      </c>
      <c r="L332" s="24">
        <v>2160</v>
      </c>
      <c r="M332" s="24">
        <v>2021</v>
      </c>
      <c r="N332" s="24">
        <v>139</v>
      </c>
      <c r="O332" s="24">
        <f t="shared" si="5"/>
        <v>2024</v>
      </c>
      <c r="P332" s="24"/>
      <c r="Q332" s="24"/>
      <c r="R332" s="24"/>
      <c r="S332" s="24"/>
      <c r="T332" s="24"/>
      <c r="U332" s="24"/>
      <c r="V332" s="27"/>
    </row>
    <row r="333" spans="1:22" x14ac:dyDescent="0.35">
      <c r="A333" s="28">
        <v>45636</v>
      </c>
      <c r="B333" s="28" t="s">
        <v>38</v>
      </c>
      <c r="C333" s="29" t="s">
        <v>9</v>
      </c>
      <c r="D333" s="29" t="s">
        <v>52</v>
      </c>
      <c r="E333" s="29" t="s">
        <v>25</v>
      </c>
      <c r="F333" s="29" t="s">
        <v>46</v>
      </c>
      <c r="G333" s="29" t="s">
        <v>26</v>
      </c>
      <c r="H333" s="29" t="s">
        <v>32</v>
      </c>
      <c r="I333" s="29" t="s">
        <v>16</v>
      </c>
      <c r="J333" s="30">
        <v>173</v>
      </c>
      <c r="K333" s="29">
        <v>91</v>
      </c>
      <c r="L333" s="29">
        <v>15743</v>
      </c>
      <c r="M333" s="29">
        <v>15243</v>
      </c>
      <c r="N333" s="29">
        <v>500</v>
      </c>
      <c r="O333" s="29">
        <f t="shared" si="5"/>
        <v>2024</v>
      </c>
      <c r="P333" s="29"/>
      <c r="Q333" s="29"/>
      <c r="R333" s="29"/>
      <c r="S333" s="29"/>
      <c r="T333" s="29"/>
      <c r="U333" s="29"/>
      <c r="V333" s="32"/>
    </row>
    <row r="334" spans="1:22" x14ac:dyDescent="0.35">
      <c r="A334" s="23">
        <v>45637</v>
      </c>
      <c r="B334" s="23" t="s">
        <v>40</v>
      </c>
      <c r="C334" s="24" t="s">
        <v>17</v>
      </c>
      <c r="D334" s="24" t="s">
        <v>52</v>
      </c>
      <c r="E334" s="24" t="s">
        <v>25</v>
      </c>
      <c r="F334" s="24" t="s">
        <v>46</v>
      </c>
      <c r="G334" s="24" t="s">
        <v>26</v>
      </c>
      <c r="H334" s="24" t="s">
        <v>33</v>
      </c>
      <c r="I334" s="24" t="s">
        <v>19</v>
      </c>
      <c r="J334" s="25">
        <v>49</v>
      </c>
      <c r="K334" s="24">
        <v>86</v>
      </c>
      <c r="L334" s="24">
        <v>4214</v>
      </c>
      <c r="M334" s="24">
        <v>3472</v>
      </c>
      <c r="N334" s="24">
        <v>742</v>
      </c>
      <c r="O334" s="24">
        <f t="shared" si="5"/>
        <v>2024</v>
      </c>
      <c r="P334" s="24"/>
      <c r="Q334" s="24"/>
      <c r="R334" s="24"/>
      <c r="S334" s="24"/>
      <c r="T334" s="24"/>
      <c r="U334" s="24"/>
      <c r="V334" s="27"/>
    </row>
    <row r="335" spans="1:22" x14ac:dyDescent="0.35">
      <c r="A335" s="28">
        <v>45638</v>
      </c>
      <c r="B335" s="28" t="s">
        <v>39</v>
      </c>
      <c r="C335" s="29" t="s">
        <v>13</v>
      </c>
      <c r="D335" s="29" t="s">
        <v>49</v>
      </c>
      <c r="E335" s="29" t="s">
        <v>14</v>
      </c>
      <c r="F335" s="29" t="s">
        <v>44</v>
      </c>
      <c r="G335" s="29" t="s">
        <v>15</v>
      </c>
      <c r="H335" s="29" t="s">
        <v>31</v>
      </c>
      <c r="I335" s="29" t="s">
        <v>12</v>
      </c>
      <c r="J335" s="30">
        <v>62</v>
      </c>
      <c r="K335" s="29">
        <v>57</v>
      </c>
      <c r="L335" s="29">
        <v>3534</v>
      </c>
      <c r="M335" s="29">
        <v>3418</v>
      </c>
      <c r="N335" s="29">
        <v>116</v>
      </c>
      <c r="O335" s="29">
        <f t="shared" si="5"/>
        <v>2024</v>
      </c>
      <c r="P335" s="29"/>
      <c r="Q335" s="29"/>
      <c r="R335" s="29"/>
      <c r="S335" s="29"/>
      <c r="T335" s="29"/>
      <c r="U335" s="29"/>
      <c r="V335" s="32"/>
    </row>
    <row r="336" spans="1:22" x14ac:dyDescent="0.35">
      <c r="A336" s="23">
        <v>45639</v>
      </c>
      <c r="B336" s="23" t="s">
        <v>40</v>
      </c>
      <c r="C336" s="24" t="s">
        <v>17</v>
      </c>
      <c r="D336" s="24" t="s">
        <v>50</v>
      </c>
      <c r="E336" s="24" t="s">
        <v>18</v>
      </c>
      <c r="F336" s="24" t="s">
        <v>44</v>
      </c>
      <c r="G336" s="24" t="s">
        <v>15</v>
      </c>
      <c r="H336" s="24" t="s">
        <v>32</v>
      </c>
      <c r="I336" s="24" t="s">
        <v>16</v>
      </c>
      <c r="J336" s="25">
        <v>62</v>
      </c>
      <c r="K336" s="24">
        <v>85</v>
      </c>
      <c r="L336" s="24">
        <v>5270</v>
      </c>
      <c r="M336" s="24">
        <v>4349</v>
      </c>
      <c r="N336" s="24">
        <v>921</v>
      </c>
      <c r="O336" s="24">
        <f t="shared" si="5"/>
        <v>2024</v>
      </c>
      <c r="P336" s="24"/>
      <c r="Q336" s="24"/>
      <c r="R336" s="24"/>
      <c r="S336" s="24"/>
      <c r="T336" s="24"/>
      <c r="U336" s="24"/>
      <c r="V336" s="27"/>
    </row>
    <row r="337" spans="1:22" x14ac:dyDescent="0.35">
      <c r="A337" s="28">
        <v>45640</v>
      </c>
      <c r="B337" s="28" t="s">
        <v>40</v>
      </c>
      <c r="C337" s="29" t="s">
        <v>17</v>
      </c>
      <c r="D337" s="29" t="s">
        <v>50</v>
      </c>
      <c r="E337" s="29" t="s">
        <v>18</v>
      </c>
      <c r="F337" s="29" t="s">
        <v>44</v>
      </c>
      <c r="G337" s="29" t="s">
        <v>15</v>
      </c>
      <c r="H337" s="29" t="s">
        <v>31</v>
      </c>
      <c r="I337" s="29" t="s">
        <v>12</v>
      </c>
      <c r="J337" s="30">
        <v>133</v>
      </c>
      <c r="K337" s="29">
        <v>60</v>
      </c>
      <c r="L337" s="29">
        <v>7980</v>
      </c>
      <c r="M337" s="29">
        <v>7854</v>
      </c>
      <c r="N337" s="29">
        <v>126</v>
      </c>
      <c r="O337" s="29">
        <f t="shared" si="5"/>
        <v>2024</v>
      </c>
      <c r="P337" s="29"/>
      <c r="Q337" s="29"/>
      <c r="R337" s="29"/>
      <c r="S337" s="29"/>
      <c r="T337" s="29"/>
      <c r="U337" s="29"/>
      <c r="V337" s="32"/>
    </row>
    <row r="338" spans="1:22" x14ac:dyDescent="0.35">
      <c r="A338" s="23">
        <v>45641</v>
      </c>
      <c r="B338" s="23" t="s">
        <v>38</v>
      </c>
      <c r="C338" s="24" t="s">
        <v>9</v>
      </c>
      <c r="D338" s="24" t="s">
        <v>54</v>
      </c>
      <c r="E338" s="24" t="s">
        <v>28</v>
      </c>
      <c r="F338" s="24" t="s">
        <v>45</v>
      </c>
      <c r="G338" s="24" t="s">
        <v>21</v>
      </c>
      <c r="H338" s="24" t="s">
        <v>34</v>
      </c>
      <c r="I338" s="24" t="s">
        <v>22</v>
      </c>
      <c r="J338" s="25">
        <v>113</v>
      </c>
      <c r="K338" s="24">
        <v>89</v>
      </c>
      <c r="L338" s="24">
        <v>10057</v>
      </c>
      <c r="M338" s="24">
        <v>9704</v>
      </c>
      <c r="N338" s="24">
        <v>353</v>
      </c>
      <c r="O338" s="24">
        <f t="shared" si="5"/>
        <v>2024</v>
      </c>
      <c r="P338" s="24"/>
      <c r="Q338" s="24"/>
      <c r="R338" s="24"/>
      <c r="S338" s="24"/>
      <c r="T338" s="24"/>
      <c r="U338" s="24"/>
      <c r="V338" s="27"/>
    </row>
    <row r="339" spans="1:22" x14ac:dyDescent="0.35">
      <c r="A339" s="28">
        <v>45642</v>
      </c>
      <c r="B339" s="28" t="s">
        <v>40</v>
      </c>
      <c r="C339" s="29" t="s">
        <v>17</v>
      </c>
      <c r="D339" s="29" t="s">
        <v>49</v>
      </c>
      <c r="E339" s="29" t="s">
        <v>14</v>
      </c>
      <c r="F339" s="29" t="s">
        <v>44</v>
      </c>
      <c r="G339" s="29" t="s">
        <v>15</v>
      </c>
      <c r="H339" s="29" t="s">
        <v>35</v>
      </c>
      <c r="I339" s="29" t="s">
        <v>24</v>
      </c>
      <c r="J339" s="30">
        <v>121</v>
      </c>
      <c r="K339" s="29">
        <v>77</v>
      </c>
      <c r="L339" s="29">
        <v>9317</v>
      </c>
      <c r="M339" s="29">
        <v>8810</v>
      </c>
      <c r="N339" s="29">
        <v>507</v>
      </c>
      <c r="O339" s="29">
        <f t="shared" si="5"/>
        <v>2024</v>
      </c>
      <c r="P339" s="29"/>
      <c r="Q339" s="29"/>
      <c r="R339" s="29"/>
      <c r="S339" s="29"/>
      <c r="T339" s="29"/>
      <c r="U339" s="29"/>
      <c r="V339" s="32"/>
    </row>
    <row r="340" spans="1:22" x14ac:dyDescent="0.35">
      <c r="A340" s="23">
        <v>45643</v>
      </c>
      <c r="B340" s="23" t="s">
        <v>41</v>
      </c>
      <c r="C340" s="24" t="s">
        <v>23</v>
      </c>
      <c r="D340" s="24" t="s">
        <v>53</v>
      </c>
      <c r="E340" s="24" t="s">
        <v>27</v>
      </c>
      <c r="F340" s="24" t="s">
        <v>46</v>
      </c>
      <c r="G340" s="24" t="s">
        <v>26</v>
      </c>
      <c r="H340" s="24" t="s">
        <v>31</v>
      </c>
      <c r="I340" s="24" t="s">
        <v>12</v>
      </c>
      <c r="J340" s="25">
        <v>34</v>
      </c>
      <c r="K340" s="24">
        <v>77</v>
      </c>
      <c r="L340" s="24">
        <v>2618</v>
      </c>
      <c r="M340" s="24">
        <v>2044</v>
      </c>
      <c r="N340" s="24">
        <v>574</v>
      </c>
      <c r="O340" s="24">
        <f t="shared" si="5"/>
        <v>2024</v>
      </c>
      <c r="P340" s="24"/>
      <c r="Q340" s="24"/>
      <c r="R340" s="24"/>
      <c r="S340" s="24"/>
      <c r="T340" s="24"/>
      <c r="U340" s="24"/>
      <c r="V340" s="27"/>
    </row>
    <row r="341" spans="1:22" x14ac:dyDescent="0.35">
      <c r="A341" s="28">
        <v>45644</v>
      </c>
      <c r="B341" s="28" t="s">
        <v>41</v>
      </c>
      <c r="C341" s="29" t="s">
        <v>23</v>
      </c>
      <c r="D341" s="29" t="s">
        <v>54</v>
      </c>
      <c r="E341" s="29" t="s">
        <v>28</v>
      </c>
      <c r="F341" s="29" t="s">
        <v>45</v>
      </c>
      <c r="G341" s="29" t="s">
        <v>21</v>
      </c>
      <c r="H341" s="29" t="s">
        <v>35</v>
      </c>
      <c r="I341" s="29" t="s">
        <v>24</v>
      </c>
      <c r="J341" s="30">
        <v>141</v>
      </c>
      <c r="K341" s="29">
        <v>92</v>
      </c>
      <c r="L341" s="29">
        <v>12972</v>
      </c>
      <c r="M341" s="29">
        <v>12020</v>
      </c>
      <c r="N341" s="29">
        <v>952</v>
      </c>
      <c r="O341" s="29">
        <f t="shared" si="5"/>
        <v>2024</v>
      </c>
      <c r="P341" s="29"/>
      <c r="Q341" s="29"/>
      <c r="R341" s="29"/>
      <c r="S341" s="29"/>
      <c r="T341" s="29"/>
      <c r="U341" s="29"/>
      <c r="V341" s="32"/>
    </row>
    <row r="342" spans="1:22" x14ac:dyDescent="0.35">
      <c r="A342" s="23">
        <v>45645</v>
      </c>
      <c r="B342" s="23" t="s">
        <v>40</v>
      </c>
      <c r="C342" s="24" t="s">
        <v>17</v>
      </c>
      <c r="D342" s="24" t="s">
        <v>49</v>
      </c>
      <c r="E342" s="24" t="s">
        <v>14</v>
      </c>
      <c r="F342" s="24" t="s">
        <v>44</v>
      </c>
      <c r="G342" s="24" t="s">
        <v>15</v>
      </c>
      <c r="H342" s="24" t="s">
        <v>35</v>
      </c>
      <c r="I342" s="24" t="s">
        <v>24</v>
      </c>
      <c r="J342" s="25">
        <v>182</v>
      </c>
      <c r="K342" s="24">
        <v>60</v>
      </c>
      <c r="L342" s="24">
        <v>10920</v>
      </c>
      <c r="M342" s="24">
        <v>9948</v>
      </c>
      <c r="N342" s="24">
        <v>972</v>
      </c>
      <c r="O342" s="24">
        <f t="shared" si="5"/>
        <v>2024</v>
      </c>
      <c r="P342" s="24"/>
      <c r="Q342" s="24"/>
      <c r="R342" s="24"/>
      <c r="S342" s="24"/>
      <c r="T342" s="24"/>
      <c r="U342" s="24"/>
      <c r="V342" s="27"/>
    </row>
    <row r="343" spans="1:22" x14ac:dyDescent="0.35">
      <c r="A343" s="28">
        <v>45646</v>
      </c>
      <c r="B343" s="28" t="s">
        <v>40</v>
      </c>
      <c r="C343" s="29" t="s">
        <v>17</v>
      </c>
      <c r="D343" s="29" t="s">
        <v>50</v>
      </c>
      <c r="E343" s="29" t="s">
        <v>18</v>
      </c>
      <c r="F343" s="29" t="s">
        <v>44</v>
      </c>
      <c r="G343" s="29" t="s">
        <v>15</v>
      </c>
      <c r="H343" s="29" t="s">
        <v>31</v>
      </c>
      <c r="I343" s="29" t="s">
        <v>12</v>
      </c>
      <c r="J343" s="30">
        <v>97</v>
      </c>
      <c r="K343" s="29">
        <v>67</v>
      </c>
      <c r="L343" s="29">
        <v>6499</v>
      </c>
      <c r="M343" s="29">
        <v>6364</v>
      </c>
      <c r="N343" s="29">
        <v>135</v>
      </c>
      <c r="O343" s="29">
        <f t="shared" si="5"/>
        <v>2024</v>
      </c>
      <c r="P343" s="29"/>
      <c r="Q343" s="29"/>
      <c r="R343" s="29"/>
      <c r="S343" s="29"/>
      <c r="T343" s="29"/>
      <c r="U343" s="29"/>
      <c r="V343" s="32"/>
    </row>
    <row r="344" spans="1:22" x14ac:dyDescent="0.35">
      <c r="A344" s="23">
        <v>45647</v>
      </c>
      <c r="B344" s="23" t="s">
        <v>38</v>
      </c>
      <c r="C344" s="24" t="s">
        <v>9</v>
      </c>
      <c r="D344" s="24" t="s">
        <v>50</v>
      </c>
      <c r="E344" s="24" t="s">
        <v>18</v>
      </c>
      <c r="F344" s="24" t="s">
        <v>44</v>
      </c>
      <c r="G344" s="24" t="s">
        <v>15</v>
      </c>
      <c r="H344" s="24" t="s">
        <v>31</v>
      </c>
      <c r="I344" s="24" t="s">
        <v>12</v>
      </c>
      <c r="J344" s="25">
        <v>184</v>
      </c>
      <c r="K344" s="24">
        <v>43</v>
      </c>
      <c r="L344" s="24">
        <v>7912</v>
      </c>
      <c r="M344" s="24">
        <v>7528</v>
      </c>
      <c r="N344" s="24">
        <v>384</v>
      </c>
      <c r="O344" s="24">
        <f t="shared" si="5"/>
        <v>2024</v>
      </c>
      <c r="P344" s="24"/>
      <c r="Q344" s="24"/>
      <c r="R344" s="24"/>
      <c r="S344" s="24"/>
      <c r="T344" s="24"/>
      <c r="U344" s="24"/>
      <c r="V344" s="27"/>
    </row>
    <row r="345" spans="1:22" x14ac:dyDescent="0.35">
      <c r="A345" s="28">
        <v>45648</v>
      </c>
      <c r="B345" s="28" t="s">
        <v>38</v>
      </c>
      <c r="C345" s="29" t="s">
        <v>9</v>
      </c>
      <c r="D345" s="29" t="s">
        <v>54</v>
      </c>
      <c r="E345" s="29" t="s">
        <v>28</v>
      </c>
      <c r="F345" s="29" t="s">
        <v>45</v>
      </c>
      <c r="G345" s="29" t="s">
        <v>21</v>
      </c>
      <c r="H345" s="29" t="s">
        <v>31</v>
      </c>
      <c r="I345" s="29" t="s">
        <v>12</v>
      </c>
      <c r="J345" s="30">
        <v>121</v>
      </c>
      <c r="K345" s="29">
        <v>57</v>
      </c>
      <c r="L345" s="29">
        <v>6897</v>
      </c>
      <c r="M345" s="29">
        <v>6781</v>
      </c>
      <c r="N345" s="29">
        <v>116</v>
      </c>
      <c r="O345" s="29">
        <f t="shared" si="5"/>
        <v>2024</v>
      </c>
      <c r="P345" s="29"/>
      <c r="Q345" s="29"/>
      <c r="R345" s="29"/>
      <c r="S345" s="29"/>
      <c r="T345" s="29"/>
      <c r="U345" s="29"/>
      <c r="V345" s="32"/>
    </row>
    <row r="346" spans="1:22" x14ac:dyDescent="0.35">
      <c r="A346" s="23">
        <v>45649</v>
      </c>
      <c r="B346" s="23" t="s">
        <v>39</v>
      </c>
      <c r="C346" s="24" t="s">
        <v>13</v>
      </c>
      <c r="D346" s="24" t="s">
        <v>49</v>
      </c>
      <c r="E346" s="24" t="s">
        <v>14</v>
      </c>
      <c r="F346" s="24" t="s">
        <v>44</v>
      </c>
      <c r="G346" s="24" t="s">
        <v>15</v>
      </c>
      <c r="H346" s="24" t="s">
        <v>32</v>
      </c>
      <c r="I346" s="24" t="s">
        <v>16</v>
      </c>
      <c r="J346" s="25">
        <v>47</v>
      </c>
      <c r="K346" s="24">
        <v>78</v>
      </c>
      <c r="L346" s="24">
        <v>3666</v>
      </c>
      <c r="M346" s="24">
        <v>2820</v>
      </c>
      <c r="N346" s="24">
        <v>846</v>
      </c>
      <c r="O346" s="24">
        <f t="shared" si="5"/>
        <v>2024</v>
      </c>
      <c r="P346" s="24"/>
      <c r="Q346" s="24"/>
      <c r="R346" s="24"/>
      <c r="S346" s="24"/>
      <c r="T346" s="24"/>
      <c r="U346" s="24"/>
      <c r="V346" s="27"/>
    </row>
    <row r="347" spans="1:22" x14ac:dyDescent="0.35">
      <c r="A347" s="28">
        <v>45650</v>
      </c>
      <c r="B347" s="28" t="s">
        <v>38</v>
      </c>
      <c r="C347" s="29" t="s">
        <v>9</v>
      </c>
      <c r="D347" s="29" t="s">
        <v>48</v>
      </c>
      <c r="E347" s="29" t="s">
        <v>10</v>
      </c>
      <c r="F347" s="29" t="s">
        <v>43</v>
      </c>
      <c r="G347" s="29" t="s">
        <v>11</v>
      </c>
      <c r="H347" s="29" t="s">
        <v>34</v>
      </c>
      <c r="I347" s="29" t="s">
        <v>22</v>
      </c>
      <c r="J347" s="30">
        <v>145</v>
      </c>
      <c r="K347" s="29">
        <v>95</v>
      </c>
      <c r="L347" s="29">
        <v>13775</v>
      </c>
      <c r="M347" s="29">
        <v>13054</v>
      </c>
      <c r="N347" s="29">
        <v>721</v>
      </c>
      <c r="O347" s="29">
        <f t="shared" si="5"/>
        <v>2024</v>
      </c>
      <c r="P347" s="29"/>
      <c r="Q347" s="29"/>
      <c r="R347" s="29"/>
      <c r="S347" s="29"/>
      <c r="T347" s="29"/>
      <c r="U347" s="29"/>
      <c r="V347" s="32"/>
    </row>
    <row r="348" spans="1:22" x14ac:dyDescent="0.35">
      <c r="A348" s="23">
        <v>45651</v>
      </c>
      <c r="B348" s="23" t="s">
        <v>41</v>
      </c>
      <c r="C348" s="24" t="s">
        <v>23</v>
      </c>
      <c r="D348" s="24" t="s">
        <v>53</v>
      </c>
      <c r="E348" s="24" t="s">
        <v>27</v>
      </c>
      <c r="F348" s="24" t="s">
        <v>46</v>
      </c>
      <c r="G348" s="24" t="s">
        <v>26</v>
      </c>
      <c r="H348" s="24" t="s">
        <v>34</v>
      </c>
      <c r="I348" s="24" t="s">
        <v>22</v>
      </c>
      <c r="J348" s="25">
        <v>161</v>
      </c>
      <c r="K348" s="24">
        <v>96</v>
      </c>
      <c r="L348" s="24">
        <v>15456</v>
      </c>
      <c r="M348" s="24">
        <v>14524</v>
      </c>
      <c r="N348" s="24">
        <v>932</v>
      </c>
      <c r="O348" s="24">
        <f t="shared" si="5"/>
        <v>2024</v>
      </c>
      <c r="P348" s="24"/>
      <c r="Q348" s="24"/>
      <c r="R348" s="24"/>
      <c r="S348" s="24"/>
      <c r="T348" s="24"/>
      <c r="U348" s="24"/>
      <c r="V348" s="27"/>
    </row>
    <row r="349" spans="1:22" x14ac:dyDescent="0.35">
      <c r="A349" s="28">
        <v>45652</v>
      </c>
      <c r="B349" s="28" t="s">
        <v>39</v>
      </c>
      <c r="C349" s="29" t="s">
        <v>13</v>
      </c>
      <c r="D349" s="29" t="s">
        <v>51</v>
      </c>
      <c r="E349" s="29" t="s">
        <v>20</v>
      </c>
      <c r="F349" s="29" t="s">
        <v>45</v>
      </c>
      <c r="G349" s="29" t="s">
        <v>21</v>
      </c>
      <c r="H349" s="29" t="s">
        <v>33</v>
      </c>
      <c r="I349" s="29" t="s">
        <v>19</v>
      </c>
      <c r="J349" s="30">
        <v>73</v>
      </c>
      <c r="K349" s="29">
        <v>64</v>
      </c>
      <c r="L349" s="29">
        <v>4672</v>
      </c>
      <c r="M349" s="29">
        <v>4176</v>
      </c>
      <c r="N349" s="29">
        <v>496</v>
      </c>
      <c r="O349" s="29">
        <f t="shared" si="5"/>
        <v>2024</v>
      </c>
      <c r="P349" s="29"/>
      <c r="Q349" s="29"/>
      <c r="R349" s="29"/>
      <c r="S349" s="29"/>
      <c r="T349" s="29"/>
      <c r="U349" s="29"/>
      <c r="V349" s="32"/>
    </row>
    <row r="350" spans="1:22" x14ac:dyDescent="0.35">
      <c r="A350" s="23">
        <v>45653</v>
      </c>
      <c r="B350" s="23" t="s">
        <v>40</v>
      </c>
      <c r="C350" s="24" t="s">
        <v>17</v>
      </c>
      <c r="D350" s="24" t="s">
        <v>52</v>
      </c>
      <c r="E350" s="24" t="s">
        <v>25</v>
      </c>
      <c r="F350" s="24" t="s">
        <v>46</v>
      </c>
      <c r="G350" s="24" t="s">
        <v>26</v>
      </c>
      <c r="H350" s="24" t="s">
        <v>33</v>
      </c>
      <c r="I350" s="24" t="s">
        <v>19</v>
      </c>
      <c r="J350" s="25">
        <v>129</v>
      </c>
      <c r="K350" s="24">
        <v>30</v>
      </c>
      <c r="L350" s="24">
        <v>3870</v>
      </c>
      <c r="M350" s="24">
        <v>3116</v>
      </c>
      <c r="N350" s="24">
        <v>754</v>
      </c>
      <c r="O350" s="24">
        <f t="shared" si="5"/>
        <v>2024</v>
      </c>
      <c r="P350" s="24"/>
      <c r="Q350" s="24"/>
      <c r="R350" s="24"/>
      <c r="S350" s="24"/>
      <c r="T350" s="24"/>
      <c r="U350" s="24"/>
      <c r="V350" s="27"/>
    </row>
    <row r="351" spans="1:22" x14ac:dyDescent="0.35">
      <c r="A351" s="28">
        <v>45654</v>
      </c>
      <c r="B351" s="28" t="s">
        <v>41</v>
      </c>
      <c r="C351" s="29" t="s">
        <v>23</v>
      </c>
      <c r="D351" s="29" t="s">
        <v>52</v>
      </c>
      <c r="E351" s="29" t="s">
        <v>25</v>
      </c>
      <c r="F351" s="29" t="s">
        <v>46</v>
      </c>
      <c r="G351" s="29" t="s">
        <v>26</v>
      </c>
      <c r="H351" s="29" t="s">
        <v>32</v>
      </c>
      <c r="I351" s="29" t="s">
        <v>16</v>
      </c>
      <c r="J351" s="30">
        <v>140</v>
      </c>
      <c r="K351" s="29">
        <v>59</v>
      </c>
      <c r="L351" s="29">
        <v>8260</v>
      </c>
      <c r="M351" s="29">
        <v>8104</v>
      </c>
      <c r="N351" s="29">
        <v>156</v>
      </c>
      <c r="O351" s="29">
        <f t="shared" si="5"/>
        <v>2024</v>
      </c>
      <c r="P351" s="29"/>
      <c r="Q351" s="29"/>
      <c r="R351" s="29"/>
      <c r="S351" s="29"/>
      <c r="T351" s="29"/>
      <c r="U351" s="29"/>
      <c r="V351" s="32"/>
    </row>
    <row r="352" spans="1:22" x14ac:dyDescent="0.35">
      <c r="A352" s="23">
        <v>45655</v>
      </c>
      <c r="B352" s="23" t="s">
        <v>41</v>
      </c>
      <c r="C352" s="24" t="s">
        <v>23</v>
      </c>
      <c r="D352" s="24" t="s">
        <v>50</v>
      </c>
      <c r="E352" s="24" t="s">
        <v>18</v>
      </c>
      <c r="F352" s="24" t="s">
        <v>44</v>
      </c>
      <c r="G352" s="24" t="s">
        <v>15</v>
      </c>
      <c r="H352" s="24" t="s">
        <v>31</v>
      </c>
      <c r="I352" s="24" t="s">
        <v>12</v>
      </c>
      <c r="J352" s="25">
        <v>34</v>
      </c>
      <c r="K352" s="24">
        <v>79</v>
      </c>
      <c r="L352" s="24">
        <v>2686</v>
      </c>
      <c r="M352" s="24">
        <v>1963</v>
      </c>
      <c r="N352" s="24">
        <v>723</v>
      </c>
      <c r="O352" s="24">
        <f t="shared" si="5"/>
        <v>2024</v>
      </c>
      <c r="P352" s="24"/>
      <c r="Q352" s="24"/>
      <c r="R352" s="24"/>
      <c r="S352" s="24"/>
      <c r="T352" s="24"/>
      <c r="U352" s="24"/>
      <c r="V352" s="27"/>
    </row>
    <row r="353" spans="1:22" x14ac:dyDescent="0.35">
      <c r="A353" s="28">
        <v>45656</v>
      </c>
      <c r="B353" s="28" t="s">
        <v>38</v>
      </c>
      <c r="C353" s="29" t="s">
        <v>9</v>
      </c>
      <c r="D353" s="29" t="s">
        <v>54</v>
      </c>
      <c r="E353" s="29" t="s">
        <v>28</v>
      </c>
      <c r="F353" s="29" t="s">
        <v>45</v>
      </c>
      <c r="G353" s="29" t="s">
        <v>21</v>
      </c>
      <c r="H353" s="29" t="s">
        <v>33</v>
      </c>
      <c r="I353" s="29" t="s">
        <v>19</v>
      </c>
      <c r="J353" s="30">
        <v>175</v>
      </c>
      <c r="K353" s="29">
        <v>58</v>
      </c>
      <c r="L353" s="29">
        <v>10150</v>
      </c>
      <c r="M353" s="29">
        <v>9309</v>
      </c>
      <c r="N353" s="29">
        <v>841</v>
      </c>
      <c r="O353" s="29">
        <f t="shared" si="5"/>
        <v>2024</v>
      </c>
      <c r="P353" s="29"/>
      <c r="Q353" s="29"/>
      <c r="R353" s="29"/>
      <c r="S353" s="29"/>
      <c r="T353" s="29"/>
      <c r="U353" s="29"/>
      <c r="V353" s="32"/>
    </row>
    <row r="354" spans="1:22" x14ac:dyDescent="0.35">
      <c r="A354" s="23">
        <v>45657</v>
      </c>
      <c r="B354" s="23" t="s">
        <v>40</v>
      </c>
      <c r="C354" s="24" t="s">
        <v>17</v>
      </c>
      <c r="D354" s="24" t="s">
        <v>55</v>
      </c>
      <c r="E354" s="24" t="s">
        <v>29</v>
      </c>
      <c r="F354" s="24" t="s">
        <v>43</v>
      </c>
      <c r="G354" s="24" t="s">
        <v>11</v>
      </c>
      <c r="H354" s="24" t="s">
        <v>31</v>
      </c>
      <c r="I354" s="24" t="s">
        <v>12</v>
      </c>
      <c r="J354" s="25">
        <v>151</v>
      </c>
      <c r="K354" s="24">
        <v>71</v>
      </c>
      <c r="L354" s="24">
        <v>10721</v>
      </c>
      <c r="M354" s="24">
        <v>10605</v>
      </c>
      <c r="N354" s="24">
        <v>116</v>
      </c>
      <c r="O354" s="24">
        <f t="shared" si="5"/>
        <v>2024</v>
      </c>
      <c r="P354" s="24"/>
      <c r="Q354" s="24"/>
      <c r="R354" s="24"/>
      <c r="S354" s="24"/>
      <c r="T354" s="24"/>
      <c r="U354" s="24"/>
      <c r="V354" s="27"/>
    </row>
    <row r="355" spans="1:22" x14ac:dyDescent="0.35">
      <c r="A355" s="28">
        <v>45658</v>
      </c>
      <c r="B355" s="28" t="s">
        <v>40</v>
      </c>
      <c r="C355" s="29" t="s">
        <v>17</v>
      </c>
      <c r="D355" s="29" t="s">
        <v>48</v>
      </c>
      <c r="E355" s="29" t="s">
        <v>10</v>
      </c>
      <c r="F355" s="29" t="s">
        <v>43</v>
      </c>
      <c r="G355" s="29" t="s">
        <v>11</v>
      </c>
      <c r="H355" s="29" t="s">
        <v>31</v>
      </c>
      <c r="I355" s="29" t="s">
        <v>12</v>
      </c>
      <c r="J355" s="30">
        <v>176</v>
      </c>
      <c r="K355" s="29">
        <v>66</v>
      </c>
      <c r="L355" s="29">
        <v>11616</v>
      </c>
      <c r="M355" s="29">
        <v>11104</v>
      </c>
      <c r="N355" s="29">
        <v>512</v>
      </c>
      <c r="O355" s="29">
        <f t="shared" si="5"/>
        <v>2025</v>
      </c>
      <c r="P355" s="29"/>
      <c r="Q355" s="29"/>
      <c r="R355" s="29"/>
      <c r="S355" s="29"/>
      <c r="T355" s="29"/>
      <c r="U355" s="29"/>
      <c r="V355" s="32"/>
    </row>
    <row r="356" spans="1:22" x14ac:dyDescent="0.35">
      <c r="A356" s="23">
        <v>45659</v>
      </c>
      <c r="B356" s="23" t="s">
        <v>41</v>
      </c>
      <c r="C356" s="24" t="s">
        <v>23</v>
      </c>
      <c r="D356" s="24" t="s">
        <v>52</v>
      </c>
      <c r="E356" s="24" t="s">
        <v>25</v>
      </c>
      <c r="F356" s="24" t="s">
        <v>46</v>
      </c>
      <c r="G356" s="24" t="s">
        <v>26</v>
      </c>
      <c r="H356" s="24" t="s">
        <v>32</v>
      </c>
      <c r="I356" s="24" t="s">
        <v>16</v>
      </c>
      <c r="J356" s="25">
        <v>192</v>
      </c>
      <c r="K356" s="24">
        <v>68</v>
      </c>
      <c r="L356" s="24">
        <v>13056</v>
      </c>
      <c r="M356" s="24">
        <v>12450</v>
      </c>
      <c r="N356" s="24">
        <v>606</v>
      </c>
      <c r="O356" s="24">
        <f t="shared" si="5"/>
        <v>2025</v>
      </c>
      <c r="P356" s="24"/>
      <c r="Q356" s="24"/>
      <c r="R356" s="24"/>
      <c r="S356" s="24"/>
      <c r="T356" s="24"/>
      <c r="U356" s="24"/>
      <c r="V356" s="27"/>
    </row>
    <row r="357" spans="1:22" x14ac:dyDescent="0.35">
      <c r="A357" s="28">
        <v>45660</v>
      </c>
      <c r="B357" s="28" t="s">
        <v>40</v>
      </c>
      <c r="C357" s="29" t="s">
        <v>17</v>
      </c>
      <c r="D357" s="29" t="s">
        <v>54</v>
      </c>
      <c r="E357" s="29" t="s">
        <v>28</v>
      </c>
      <c r="F357" s="29" t="s">
        <v>45</v>
      </c>
      <c r="G357" s="29" t="s">
        <v>21</v>
      </c>
      <c r="H357" s="29" t="s">
        <v>31</v>
      </c>
      <c r="I357" s="29" t="s">
        <v>12</v>
      </c>
      <c r="J357" s="30">
        <v>66</v>
      </c>
      <c r="K357" s="29">
        <v>36</v>
      </c>
      <c r="L357" s="29">
        <v>2376</v>
      </c>
      <c r="M357" s="29">
        <v>1523</v>
      </c>
      <c r="N357" s="29">
        <v>853</v>
      </c>
      <c r="O357" s="29">
        <f t="shared" si="5"/>
        <v>2025</v>
      </c>
      <c r="P357" s="29"/>
      <c r="Q357" s="29"/>
      <c r="R357" s="29"/>
      <c r="S357" s="29"/>
      <c r="T357" s="29"/>
      <c r="U357" s="29"/>
      <c r="V357" s="32"/>
    </row>
    <row r="358" spans="1:22" x14ac:dyDescent="0.35">
      <c r="A358" s="23">
        <v>45661</v>
      </c>
      <c r="B358" s="23" t="s">
        <v>40</v>
      </c>
      <c r="C358" s="24" t="s">
        <v>17</v>
      </c>
      <c r="D358" s="24" t="s">
        <v>54</v>
      </c>
      <c r="E358" s="24" t="s">
        <v>28</v>
      </c>
      <c r="F358" s="24" t="s">
        <v>45</v>
      </c>
      <c r="G358" s="24" t="s">
        <v>21</v>
      </c>
      <c r="H358" s="24" t="s">
        <v>34</v>
      </c>
      <c r="I358" s="24" t="s">
        <v>22</v>
      </c>
      <c r="J358" s="25">
        <v>61</v>
      </c>
      <c r="K358" s="24">
        <v>68</v>
      </c>
      <c r="L358" s="24">
        <v>4148</v>
      </c>
      <c r="M358" s="24">
        <v>3681</v>
      </c>
      <c r="N358" s="24">
        <v>467</v>
      </c>
      <c r="O358" s="24">
        <f t="shared" si="5"/>
        <v>2025</v>
      </c>
      <c r="P358" s="24"/>
      <c r="Q358" s="24"/>
      <c r="R358" s="24"/>
      <c r="S358" s="24"/>
      <c r="T358" s="24"/>
      <c r="U358" s="24"/>
      <c r="V358" s="27"/>
    </row>
    <row r="359" spans="1:22" x14ac:dyDescent="0.35">
      <c r="A359" s="28">
        <v>45662</v>
      </c>
      <c r="B359" s="28" t="s">
        <v>41</v>
      </c>
      <c r="C359" s="29" t="s">
        <v>23</v>
      </c>
      <c r="D359" s="29" t="s">
        <v>55</v>
      </c>
      <c r="E359" s="29" t="s">
        <v>29</v>
      </c>
      <c r="F359" s="29" t="s">
        <v>43</v>
      </c>
      <c r="G359" s="29" t="s">
        <v>11</v>
      </c>
      <c r="H359" s="29" t="s">
        <v>33</v>
      </c>
      <c r="I359" s="29" t="s">
        <v>19</v>
      </c>
      <c r="J359" s="30">
        <v>140</v>
      </c>
      <c r="K359" s="29">
        <v>74</v>
      </c>
      <c r="L359" s="29">
        <v>10360</v>
      </c>
      <c r="M359" s="29">
        <v>10144</v>
      </c>
      <c r="N359" s="29">
        <v>216</v>
      </c>
      <c r="O359" s="29">
        <f t="shared" si="5"/>
        <v>2025</v>
      </c>
      <c r="P359" s="29"/>
      <c r="Q359" s="29"/>
      <c r="R359" s="29"/>
      <c r="S359" s="29"/>
      <c r="T359" s="29"/>
      <c r="U359" s="29"/>
      <c r="V359" s="32"/>
    </row>
    <row r="360" spans="1:22" x14ac:dyDescent="0.35">
      <c r="A360" s="23">
        <v>45663</v>
      </c>
      <c r="B360" s="23" t="s">
        <v>39</v>
      </c>
      <c r="C360" s="24" t="s">
        <v>13</v>
      </c>
      <c r="D360" s="24" t="s">
        <v>54</v>
      </c>
      <c r="E360" s="24" t="s">
        <v>28</v>
      </c>
      <c r="F360" s="24" t="s">
        <v>45</v>
      </c>
      <c r="G360" s="24" t="s">
        <v>21</v>
      </c>
      <c r="H360" s="24" t="s">
        <v>31</v>
      </c>
      <c r="I360" s="24" t="s">
        <v>12</v>
      </c>
      <c r="J360" s="25">
        <v>183</v>
      </c>
      <c r="K360" s="24">
        <v>59</v>
      </c>
      <c r="L360" s="24">
        <v>10797</v>
      </c>
      <c r="M360" s="24">
        <v>9960</v>
      </c>
      <c r="N360" s="24">
        <v>837</v>
      </c>
      <c r="O360" s="24">
        <f t="shared" si="5"/>
        <v>2025</v>
      </c>
      <c r="P360" s="24"/>
      <c r="Q360" s="24"/>
      <c r="R360" s="24"/>
      <c r="S360" s="24"/>
      <c r="T360" s="24"/>
      <c r="U360" s="24"/>
      <c r="V360" s="27"/>
    </row>
    <row r="361" spans="1:22" x14ac:dyDescent="0.35">
      <c r="A361" s="28">
        <v>45664</v>
      </c>
      <c r="B361" s="28" t="s">
        <v>40</v>
      </c>
      <c r="C361" s="29" t="s">
        <v>17</v>
      </c>
      <c r="D361" s="29" t="s">
        <v>52</v>
      </c>
      <c r="E361" s="29" t="s">
        <v>25</v>
      </c>
      <c r="F361" s="29" t="s">
        <v>46</v>
      </c>
      <c r="G361" s="29" t="s">
        <v>26</v>
      </c>
      <c r="H361" s="29" t="s">
        <v>32</v>
      </c>
      <c r="I361" s="29" t="s">
        <v>16</v>
      </c>
      <c r="J361" s="30">
        <v>168</v>
      </c>
      <c r="K361" s="29">
        <v>77</v>
      </c>
      <c r="L361" s="29">
        <v>12936</v>
      </c>
      <c r="M361" s="29">
        <v>12424</v>
      </c>
      <c r="N361" s="29">
        <v>512</v>
      </c>
      <c r="O361" s="29">
        <f t="shared" si="5"/>
        <v>2025</v>
      </c>
      <c r="P361" s="29"/>
      <c r="Q361" s="29"/>
      <c r="R361" s="29"/>
      <c r="S361" s="29"/>
      <c r="T361" s="29"/>
      <c r="U361" s="29"/>
      <c r="V361" s="32"/>
    </row>
    <row r="362" spans="1:22" x14ac:dyDescent="0.35">
      <c r="A362" s="23">
        <v>45665</v>
      </c>
      <c r="B362" s="23" t="s">
        <v>39</v>
      </c>
      <c r="C362" s="24" t="s">
        <v>13</v>
      </c>
      <c r="D362" s="24" t="s">
        <v>52</v>
      </c>
      <c r="E362" s="24" t="s">
        <v>25</v>
      </c>
      <c r="F362" s="24" t="s">
        <v>46</v>
      </c>
      <c r="G362" s="24" t="s">
        <v>26</v>
      </c>
      <c r="H362" s="24" t="s">
        <v>32</v>
      </c>
      <c r="I362" s="24" t="s">
        <v>16</v>
      </c>
      <c r="J362" s="25">
        <v>89</v>
      </c>
      <c r="K362" s="24">
        <v>50</v>
      </c>
      <c r="L362" s="24">
        <v>4450</v>
      </c>
      <c r="M362" s="24">
        <v>3682</v>
      </c>
      <c r="N362" s="24">
        <v>768</v>
      </c>
      <c r="O362" s="24">
        <f t="shared" si="5"/>
        <v>2025</v>
      </c>
      <c r="P362" s="24"/>
      <c r="Q362" s="24"/>
      <c r="R362" s="24"/>
      <c r="S362" s="24"/>
      <c r="T362" s="24"/>
      <c r="U362" s="24"/>
      <c r="V362" s="27"/>
    </row>
    <row r="363" spans="1:22" x14ac:dyDescent="0.35">
      <c r="A363" s="28">
        <v>45666</v>
      </c>
      <c r="B363" s="28" t="s">
        <v>39</v>
      </c>
      <c r="C363" s="29" t="s">
        <v>13</v>
      </c>
      <c r="D363" s="29" t="s">
        <v>54</v>
      </c>
      <c r="E363" s="29" t="s">
        <v>28</v>
      </c>
      <c r="F363" s="29" t="s">
        <v>45</v>
      </c>
      <c r="G363" s="29" t="s">
        <v>21</v>
      </c>
      <c r="H363" s="29" t="s">
        <v>34</v>
      </c>
      <c r="I363" s="29" t="s">
        <v>22</v>
      </c>
      <c r="J363" s="30">
        <v>63</v>
      </c>
      <c r="K363" s="29">
        <v>50</v>
      </c>
      <c r="L363" s="29">
        <v>3150</v>
      </c>
      <c r="M363" s="29">
        <v>2472</v>
      </c>
      <c r="N363" s="29">
        <v>678</v>
      </c>
      <c r="O363" s="29">
        <f t="shared" si="5"/>
        <v>2025</v>
      </c>
      <c r="P363" s="29"/>
      <c r="Q363" s="29"/>
      <c r="R363" s="29"/>
      <c r="S363" s="29"/>
      <c r="T363" s="29"/>
      <c r="U363" s="29"/>
      <c r="V363" s="32"/>
    </row>
    <row r="364" spans="1:22" x14ac:dyDescent="0.35">
      <c r="A364" s="23">
        <v>45667</v>
      </c>
      <c r="B364" s="23" t="s">
        <v>40</v>
      </c>
      <c r="C364" s="24" t="s">
        <v>17</v>
      </c>
      <c r="D364" s="24" t="s">
        <v>55</v>
      </c>
      <c r="E364" s="24" t="s">
        <v>29</v>
      </c>
      <c r="F364" s="24" t="s">
        <v>43</v>
      </c>
      <c r="G364" s="24" t="s">
        <v>11</v>
      </c>
      <c r="H364" s="24" t="s">
        <v>32</v>
      </c>
      <c r="I364" s="24" t="s">
        <v>16</v>
      </c>
      <c r="J364" s="25">
        <v>125</v>
      </c>
      <c r="K364" s="24">
        <v>42</v>
      </c>
      <c r="L364" s="24">
        <v>5250</v>
      </c>
      <c r="M364" s="24">
        <v>4487</v>
      </c>
      <c r="N364" s="24">
        <v>763</v>
      </c>
      <c r="O364" s="24">
        <f t="shared" si="5"/>
        <v>2025</v>
      </c>
      <c r="P364" s="24"/>
      <c r="Q364" s="24"/>
      <c r="R364" s="24"/>
      <c r="S364" s="24"/>
      <c r="T364" s="24"/>
      <c r="U364" s="24"/>
      <c r="V364" s="27"/>
    </row>
    <row r="365" spans="1:22" x14ac:dyDescent="0.35">
      <c r="A365" s="28">
        <v>45668</v>
      </c>
      <c r="B365" s="28" t="s">
        <v>41</v>
      </c>
      <c r="C365" s="29" t="s">
        <v>23</v>
      </c>
      <c r="D365" s="29" t="s">
        <v>54</v>
      </c>
      <c r="E365" s="29" t="s">
        <v>28</v>
      </c>
      <c r="F365" s="29" t="s">
        <v>45</v>
      </c>
      <c r="G365" s="29" t="s">
        <v>21</v>
      </c>
      <c r="H365" s="29" t="s">
        <v>35</v>
      </c>
      <c r="I365" s="29" t="s">
        <v>24</v>
      </c>
      <c r="J365" s="30">
        <v>78</v>
      </c>
      <c r="K365" s="29">
        <v>82</v>
      </c>
      <c r="L365" s="29">
        <v>6396</v>
      </c>
      <c r="M365" s="29">
        <v>5671</v>
      </c>
      <c r="N365" s="29">
        <v>725</v>
      </c>
      <c r="O365" s="29">
        <f t="shared" si="5"/>
        <v>2025</v>
      </c>
      <c r="P365" s="29"/>
      <c r="Q365" s="29"/>
      <c r="R365" s="29"/>
      <c r="S365" s="29"/>
      <c r="T365" s="29"/>
      <c r="U365" s="29"/>
      <c r="V365" s="32"/>
    </row>
    <row r="366" spans="1:22" x14ac:dyDescent="0.35">
      <c r="A366" s="23">
        <v>45669</v>
      </c>
      <c r="B366" s="23" t="s">
        <v>40</v>
      </c>
      <c r="C366" s="24" t="s">
        <v>17</v>
      </c>
      <c r="D366" s="24" t="s">
        <v>51</v>
      </c>
      <c r="E366" s="24" t="s">
        <v>20</v>
      </c>
      <c r="F366" s="24" t="s">
        <v>45</v>
      </c>
      <c r="G366" s="24" t="s">
        <v>21</v>
      </c>
      <c r="H366" s="24" t="s">
        <v>32</v>
      </c>
      <c r="I366" s="24" t="s">
        <v>16</v>
      </c>
      <c r="J366" s="25">
        <v>97</v>
      </c>
      <c r="K366" s="24">
        <v>70</v>
      </c>
      <c r="L366" s="24">
        <v>6790</v>
      </c>
      <c r="M366" s="24">
        <v>5905</v>
      </c>
      <c r="N366" s="24">
        <v>885</v>
      </c>
      <c r="O366" s="24">
        <f t="shared" si="5"/>
        <v>2025</v>
      </c>
      <c r="P366" s="24"/>
      <c r="Q366" s="24"/>
      <c r="R366" s="24"/>
      <c r="S366" s="24"/>
      <c r="T366" s="24"/>
      <c r="U366" s="24"/>
      <c r="V366" s="27"/>
    </row>
    <row r="367" spans="1:22" x14ac:dyDescent="0.35">
      <c r="A367" s="28">
        <v>45670</v>
      </c>
      <c r="B367" s="28" t="s">
        <v>38</v>
      </c>
      <c r="C367" s="29" t="s">
        <v>9</v>
      </c>
      <c r="D367" s="29" t="s">
        <v>54</v>
      </c>
      <c r="E367" s="29" t="s">
        <v>28</v>
      </c>
      <c r="F367" s="29" t="s">
        <v>45</v>
      </c>
      <c r="G367" s="29" t="s">
        <v>21</v>
      </c>
      <c r="H367" s="29" t="s">
        <v>34</v>
      </c>
      <c r="I367" s="29" t="s">
        <v>22</v>
      </c>
      <c r="J367" s="30">
        <v>60</v>
      </c>
      <c r="K367" s="29">
        <v>88</v>
      </c>
      <c r="L367" s="29">
        <v>5280</v>
      </c>
      <c r="M367" s="29">
        <v>4526</v>
      </c>
      <c r="N367" s="29">
        <v>754</v>
      </c>
      <c r="O367" s="29">
        <f t="shared" si="5"/>
        <v>2025</v>
      </c>
      <c r="P367" s="29"/>
      <c r="Q367" s="29"/>
      <c r="R367" s="29"/>
      <c r="S367" s="29"/>
      <c r="T367" s="29"/>
      <c r="U367" s="29"/>
      <c r="V367" s="32"/>
    </row>
    <row r="368" spans="1:22" x14ac:dyDescent="0.35">
      <c r="A368" s="23">
        <v>45671</v>
      </c>
      <c r="B368" s="23" t="s">
        <v>38</v>
      </c>
      <c r="C368" s="24" t="s">
        <v>9</v>
      </c>
      <c r="D368" s="24" t="s">
        <v>52</v>
      </c>
      <c r="E368" s="24" t="s">
        <v>25</v>
      </c>
      <c r="F368" s="24" t="s">
        <v>46</v>
      </c>
      <c r="G368" s="24" t="s">
        <v>26</v>
      </c>
      <c r="H368" s="24" t="s">
        <v>34</v>
      </c>
      <c r="I368" s="24" t="s">
        <v>22</v>
      </c>
      <c r="J368" s="25">
        <v>140</v>
      </c>
      <c r="K368" s="24">
        <v>37</v>
      </c>
      <c r="L368" s="24">
        <v>5180</v>
      </c>
      <c r="M368" s="24">
        <v>4192</v>
      </c>
      <c r="N368" s="24">
        <v>988</v>
      </c>
      <c r="O368" s="24">
        <f t="shared" si="5"/>
        <v>2025</v>
      </c>
      <c r="P368" s="24"/>
      <c r="Q368" s="24"/>
      <c r="R368" s="24"/>
      <c r="S368" s="24"/>
      <c r="T368" s="24"/>
      <c r="U368" s="24"/>
      <c r="V368" s="27"/>
    </row>
    <row r="369" spans="1:22" x14ac:dyDescent="0.35">
      <c r="A369" s="28">
        <v>45672</v>
      </c>
      <c r="B369" s="28" t="s">
        <v>39</v>
      </c>
      <c r="C369" s="29" t="s">
        <v>13</v>
      </c>
      <c r="D369" s="29" t="s">
        <v>51</v>
      </c>
      <c r="E369" s="29" t="s">
        <v>20</v>
      </c>
      <c r="F369" s="29" t="s">
        <v>45</v>
      </c>
      <c r="G369" s="29" t="s">
        <v>21</v>
      </c>
      <c r="H369" s="29" t="s">
        <v>31</v>
      </c>
      <c r="I369" s="29" t="s">
        <v>12</v>
      </c>
      <c r="J369" s="30">
        <v>172</v>
      </c>
      <c r="K369" s="29">
        <v>59</v>
      </c>
      <c r="L369" s="29">
        <v>10148</v>
      </c>
      <c r="M369" s="29">
        <v>9431</v>
      </c>
      <c r="N369" s="29">
        <v>717</v>
      </c>
      <c r="O369" s="29">
        <f t="shared" si="5"/>
        <v>2025</v>
      </c>
      <c r="P369" s="29"/>
      <c r="Q369" s="29"/>
      <c r="R369" s="29"/>
      <c r="S369" s="29"/>
      <c r="T369" s="29"/>
      <c r="U369" s="29"/>
      <c r="V369" s="32"/>
    </row>
    <row r="370" spans="1:22" x14ac:dyDescent="0.35">
      <c r="A370" s="23">
        <v>45673</v>
      </c>
      <c r="B370" s="23" t="s">
        <v>39</v>
      </c>
      <c r="C370" s="24" t="s">
        <v>13</v>
      </c>
      <c r="D370" s="24" t="s">
        <v>54</v>
      </c>
      <c r="E370" s="24" t="s">
        <v>28</v>
      </c>
      <c r="F370" s="24" t="s">
        <v>45</v>
      </c>
      <c r="G370" s="24" t="s">
        <v>21</v>
      </c>
      <c r="H370" s="24" t="s">
        <v>33</v>
      </c>
      <c r="I370" s="24" t="s">
        <v>19</v>
      </c>
      <c r="J370" s="25">
        <v>52</v>
      </c>
      <c r="K370" s="24">
        <v>52</v>
      </c>
      <c r="L370" s="24">
        <v>2704</v>
      </c>
      <c r="M370" s="24">
        <v>2306</v>
      </c>
      <c r="N370" s="24">
        <v>398</v>
      </c>
      <c r="O370" s="24">
        <f t="shared" si="5"/>
        <v>2025</v>
      </c>
      <c r="P370" s="24"/>
      <c r="Q370" s="24"/>
      <c r="R370" s="24"/>
      <c r="S370" s="24"/>
      <c r="T370" s="24"/>
      <c r="U370" s="24"/>
      <c r="V370" s="27"/>
    </row>
    <row r="371" spans="1:22" x14ac:dyDescent="0.35">
      <c r="A371" s="28">
        <v>45674</v>
      </c>
      <c r="B371" s="28" t="s">
        <v>39</v>
      </c>
      <c r="C371" s="29" t="s">
        <v>13</v>
      </c>
      <c r="D371" s="29" t="s">
        <v>52</v>
      </c>
      <c r="E371" s="29" t="s">
        <v>25</v>
      </c>
      <c r="F371" s="29" t="s">
        <v>46</v>
      </c>
      <c r="G371" s="29" t="s">
        <v>26</v>
      </c>
      <c r="H371" s="29" t="s">
        <v>35</v>
      </c>
      <c r="I371" s="29" t="s">
        <v>24</v>
      </c>
      <c r="J371" s="30">
        <v>23</v>
      </c>
      <c r="K371" s="29">
        <v>43</v>
      </c>
      <c r="L371" s="29">
        <v>989</v>
      </c>
      <c r="M371" s="29">
        <v>208</v>
      </c>
      <c r="N371" s="29">
        <v>781</v>
      </c>
      <c r="O371" s="29">
        <f t="shared" si="5"/>
        <v>2025</v>
      </c>
      <c r="P371" s="29"/>
      <c r="Q371" s="29"/>
      <c r="R371" s="29"/>
      <c r="S371" s="29"/>
      <c r="T371" s="29"/>
      <c r="U371" s="29"/>
      <c r="V371" s="32"/>
    </row>
    <row r="372" spans="1:22" x14ac:dyDescent="0.35">
      <c r="A372" s="23">
        <v>45675</v>
      </c>
      <c r="B372" s="23" t="s">
        <v>40</v>
      </c>
      <c r="C372" s="24" t="s">
        <v>17</v>
      </c>
      <c r="D372" s="24" t="s">
        <v>51</v>
      </c>
      <c r="E372" s="24" t="s">
        <v>20</v>
      </c>
      <c r="F372" s="24" t="s">
        <v>45</v>
      </c>
      <c r="G372" s="24" t="s">
        <v>21</v>
      </c>
      <c r="H372" s="24" t="s">
        <v>33</v>
      </c>
      <c r="I372" s="24" t="s">
        <v>19</v>
      </c>
      <c r="J372" s="25">
        <v>70</v>
      </c>
      <c r="K372" s="24">
        <v>35</v>
      </c>
      <c r="L372" s="24">
        <v>2450</v>
      </c>
      <c r="M372" s="24">
        <v>2155</v>
      </c>
      <c r="N372" s="24">
        <v>295</v>
      </c>
      <c r="O372" s="24">
        <f t="shared" si="5"/>
        <v>2025</v>
      </c>
      <c r="P372" s="24"/>
      <c r="Q372" s="24"/>
      <c r="R372" s="24"/>
      <c r="S372" s="24"/>
      <c r="T372" s="24"/>
      <c r="U372" s="24"/>
      <c r="V372" s="27"/>
    </row>
    <row r="373" spans="1:22" x14ac:dyDescent="0.35">
      <c r="A373" s="28">
        <v>45676</v>
      </c>
      <c r="B373" s="28" t="s">
        <v>39</v>
      </c>
      <c r="C373" s="29" t="s">
        <v>13</v>
      </c>
      <c r="D373" s="29" t="s">
        <v>55</v>
      </c>
      <c r="E373" s="29" t="s">
        <v>29</v>
      </c>
      <c r="F373" s="29" t="s">
        <v>43</v>
      </c>
      <c r="G373" s="29" t="s">
        <v>11</v>
      </c>
      <c r="H373" s="29" t="s">
        <v>32</v>
      </c>
      <c r="I373" s="29" t="s">
        <v>16</v>
      </c>
      <c r="J373" s="30">
        <v>100</v>
      </c>
      <c r="K373" s="29">
        <v>99</v>
      </c>
      <c r="L373" s="29">
        <v>9900</v>
      </c>
      <c r="M373" s="29">
        <v>9648</v>
      </c>
      <c r="N373" s="29">
        <v>252</v>
      </c>
      <c r="O373" s="29">
        <f t="shared" si="5"/>
        <v>2025</v>
      </c>
      <c r="P373" s="29"/>
      <c r="Q373" s="29"/>
      <c r="R373" s="29"/>
      <c r="S373" s="29"/>
      <c r="T373" s="29"/>
      <c r="U373" s="29"/>
      <c r="V373" s="32"/>
    </row>
    <row r="374" spans="1:22" x14ac:dyDescent="0.35">
      <c r="A374" s="23">
        <v>45677</v>
      </c>
      <c r="B374" s="23" t="s">
        <v>38</v>
      </c>
      <c r="C374" s="24" t="s">
        <v>9</v>
      </c>
      <c r="D374" s="24" t="s">
        <v>48</v>
      </c>
      <c r="E374" s="24" t="s">
        <v>10</v>
      </c>
      <c r="F374" s="24" t="s">
        <v>43</v>
      </c>
      <c r="G374" s="24" t="s">
        <v>11</v>
      </c>
      <c r="H374" s="24" t="s">
        <v>31</v>
      </c>
      <c r="I374" s="24" t="s">
        <v>12</v>
      </c>
      <c r="J374" s="25">
        <v>116</v>
      </c>
      <c r="K374" s="24">
        <v>75</v>
      </c>
      <c r="L374" s="24">
        <v>8700</v>
      </c>
      <c r="M374" s="24">
        <v>8215</v>
      </c>
      <c r="N374" s="24">
        <v>485</v>
      </c>
      <c r="O374" s="24">
        <f t="shared" si="5"/>
        <v>2025</v>
      </c>
      <c r="P374" s="24"/>
      <c r="Q374" s="24"/>
      <c r="R374" s="24"/>
      <c r="S374" s="24"/>
      <c r="T374" s="24"/>
      <c r="U374" s="24"/>
      <c r="V374" s="27"/>
    </row>
    <row r="375" spans="1:22" x14ac:dyDescent="0.35">
      <c r="A375" s="28">
        <v>45678</v>
      </c>
      <c r="B375" s="28" t="s">
        <v>40</v>
      </c>
      <c r="C375" s="29" t="s">
        <v>17</v>
      </c>
      <c r="D375" s="29" t="s">
        <v>52</v>
      </c>
      <c r="E375" s="29" t="s">
        <v>25</v>
      </c>
      <c r="F375" s="29" t="s">
        <v>46</v>
      </c>
      <c r="G375" s="29" t="s">
        <v>26</v>
      </c>
      <c r="H375" s="29" t="s">
        <v>34</v>
      </c>
      <c r="I375" s="29" t="s">
        <v>22</v>
      </c>
      <c r="J375" s="30">
        <v>79</v>
      </c>
      <c r="K375" s="29">
        <v>71</v>
      </c>
      <c r="L375" s="29">
        <v>5609</v>
      </c>
      <c r="M375" s="29">
        <v>5456</v>
      </c>
      <c r="N375" s="29">
        <v>153</v>
      </c>
      <c r="O375" s="29">
        <f t="shared" si="5"/>
        <v>2025</v>
      </c>
      <c r="P375" s="29"/>
      <c r="Q375" s="29"/>
      <c r="R375" s="29"/>
      <c r="S375" s="29"/>
      <c r="T375" s="29"/>
      <c r="U375" s="29"/>
      <c r="V375" s="32"/>
    </row>
    <row r="376" spans="1:22" x14ac:dyDescent="0.35">
      <c r="A376" s="23">
        <v>45679</v>
      </c>
      <c r="B376" s="23" t="s">
        <v>40</v>
      </c>
      <c r="C376" s="24" t="s">
        <v>17</v>
      </c>
      <c r="D376" s="24" t="s">
        <v>55</v>
      </c>
      <c r="E376" s="24" t="s">
        <v>29</v>
      </c>
      <c r="F376" s="24" t="s">
        <v>43</v>
      </c>
      <c r="G376" s="24" t="s">
        <v>11</v>
      </c>
      <c r="H376" s="24" t="s">
        <v>33</v>
      </c>
      <c r="I376" s="24" t="s">
        <v>19</v>
      </c>
      <c r="J376" s="25">
        <v>76</v>
      </c>
      <c r="K376" s="24">
        <v>92</v>
      </c>
      <c r="L376" s="24">
        <v>6992</v>
      </c>
      <c r="M376" s="24">
        <v>6723</v>
      </c>
      <c r="N376" s="24">
        <v>269</v>
      </c>
      <c r="O376" s="24">
        <f t="shared" si="5"/>
        <v>2025</v>
      </c>
      <c r="P376" s="24"/>
      <c r="Q376" s="24"/>
      <c r="R376" s="24"/>
      <c r="S376" s="24"/>
      <c r="T376" s="24"/>
      <c r="U376" s="24"/>
      <c r="V376" s="27"/>
    </row>
    <row r="377" spans="1:22" x14ac:dyDescent="0.35">
      <c r="A377" s="28">
        <v>45680</v>
      </c>
      <c r="B377" s="28" t="s">
        <v>40</v>
      </c>
      <c r="C377" s="29" t="s">
        <v>17</v>
      </c>
      <c r="D377" s="29" t="s">
        <v>51</v>
      </c>
      <c r="E377" s="29" t="s">
        <v>20</v>
      </c>
      <c r="F377" s="29" t="s">
        <v>45</v>
      </c>
      <c r="G377" s="29" t="s">
        <v>21</v>
      </c>
      <c r="H377" s="29" t="s">
        <v>35</v>
      </c>
      <c r="I377" s="29" t="s">
        <v>24</v>
      </c>
      <c r="J377" s="30">
        <v>102</v>
      </c>
      <c r="K377" s="29">
        <v>39</v>
      </c>
      <c r="L377" s="29">
        <v>3978</v>
      </c>
      <c r="M377" s="29">
        <v>2999</v>
      </c>
      <c r="N377" s="29">
        <v>979</v>
      </c>
      <c r="O377" s="29">
        <f t="shared" si="5"/>
        <v>2025</v>
      </c>
      <c r="P377" s="29"/>
      <c r="Q377" s="29"/>
      <c r="R377" s="29"/>
      <c r="S377" s="29"/>
      <c r="T377" s="29"/>
      <c r="U377" s="29"/>
      <c r="V377" s="32"/>
    </row>
    <row r="378" spans="1:22" x14ac:dyDescent="0.35">
      <c r="A378" s="23">
        <v>45681</v>
      </c>
      <c r="B378" s="23" t="s">
        <v>40</v>
      </c>
      <c r="C378" s="24" t="s">
        <v>17</v>
      </c>
      <c r="D378" s="24" t="s">
        <v>52</v>
      </c>
      <c r="E378" s="24" t="s">
        <v>25</v>
      </c>
      <c r="F378" s="24" t="s">
        <v>46</v>
      </c>
      <c r="G378" s="24" t="s">
        <v>26</v>
      </c>
      <c r="H378" s="24" t="s">
        <v>31</v>
      </c>
      <c r="I378" s="24" t="s">
        <v>12</v>
      </c>
      <c r="J378" s="25">
        <v>120</v>
      </c>
      <c r="K378" s="24">
        <v>81</v>
      </c>
      <c r="L378" s="24">
        <v>9720</v>
      </c>
      <c r="M378" s="24">
        <v>9514</v>
      </c>
      <c r="N378" s="24">
        <v>206</v>
      </c>
      <c r="O378" s="24">
        <f t="shared" si="5"/>
        <v>2025</v>
      </c>
      <c r="P378" s="24"/>
      <c r="Q378" s="24"/>
      <c r="R378" s="24"/>
      <c r="S378" s="24"/>
      <c r="T378" s="24"/>
      <c r="U378" s="24"/>
      <c r="V378" s="27"/>
    </row>
    <row r="379" spans="1:22" x14ac:dyDescent="0.35">
      <c r="A379" s="28">
        <v>45682</v>
      </c>
      <c r="B379" s="28" t="s">
        <v>41</v>
      </c>
      <c r="C379" s="29" t="s">
        <v>23</v>
      </c>
      <c r="D379" s="29" t="s">
        <v>53</v>
      </c>
      <c r="E379" s="29" t="s">
        <v>27</v>
      </c>
      <c r="F379" s="29" t="s">
        <v>46</v>
      </c>
      <c r="G379" s="29" t="s">
        <v>26</v>
      </c>
      <c r="H379" s="29" t="s">
        <v>33</v>
      </c>
      <c r="I379" s="29" t="s">
        <v>19</v>
      </c>
      <c r="J379" s="30">
        <v>131</v>
      </c>
      <c r="K379" s="29">
        <v>77</v>
      </c>
      <c r="L379" s="29">
        <v>10087</v>
      </c>
      <c r="M379" s="29">
        <v>9510</v>
      </c>
      <c r="N379" s="29">
        <v>577</v>
      </c>
      <c r="O379" s="29">
        <f t="shared" si="5"/>
        <v>2025</v>
      </c>
      <c r="P379" s="29"/>
      <c r="Q379" s="29"/>
      <c r="R379" s="29"/>
      <c r="S379" s="29"/>
      <c r="T379" s="29"/>
      <c r="U379" s="29"/>
      <c r="V379" s="32"/>
    </row>
    <row r="380" spans="1:22" x14ac:dyDescent="0.35">
      <c r="A380" s="23">
        <v>45683</v>
      </c>
      <c r="B380" s="23" t="s">
        <v>41</v>
      </c>
      <c r="C380" s="24" t="s">
        <v>23</v>
      </c>
      <c r="D380" s="24" t="s">
        <v>53</v>
      </c>
      <c r="E380" s="24" t="s">
        <v>27</v>
      </c>
      <c r="F380" s="24" t="s">
        <v>46</v>
      </c>
      <c r="G380" s="24" t="s">
        <v>26</v>
      </c>
      <c r="H380" s="24" t="s">
        <v>31</v>
      </c>
      <c r="I380" s="24" t="s">
        <v>12</v>
      </c>
      <c r="J380" s="25">
        <v>26</v>
      </c>
      <c r="K380" s="24">
        <v>32</v>
      </c>
      <c r="L380" s="24">
        <v>832</v>
      </c>
      <c r="M380" s="24">
        <v>393</v>
      </c>
      <c r="N380" s="24">
        <v>439</v>
      </c>
      <c r="O380" s="24">
        <f t="shared" si="5"/>
        <v>2025</v>
      </c>
      <c r="P380" s="24"/>
      <c r="Q380" s="24"/>
      <c r="R380" s="24"/>
      <c r="S380" s="24"/>
      <c r="T380" s="24"/>
      <c r="U380" s="24"/>
      <c r="V380" s="27"/>
    </row>
    <row r="381" spans="1:22" x14ac:dyDescent="0.35">
      <c r="A381" s="28">
        <v>45684</v>
      </c>
      <c r="B381" s="28" t="s">
        <v>40</v>
      </c>
      <c r="C381" s="29" t="s">
        <v>17</v>
      </c>
      <c r="D381" s="29" t="s">
        <v>50</v>
      </c>
      <c r="E381" s="29" t="s">
        <v>18</v>
      </c>
      <c r="F381" s="29" t="s">
        <v>44</v>
      </c>
      <c r="G381" s="29" t="s">
        <v>15</v>
      </c>
      <c r="H381" s="29" t="s">
        <v>35</v>
      </c>
      <c r="I381" s="29" t="s">
        <v>24</v>
      </c>
      <c r="J381" s="30">
        <v>179</v>
      </c>
      <c r="K381" s="29">
        <v>60</v>
      </c>
      <c r="L381" s="29">
        <v>10740</v>
      </c>
      <c r="M381" s="29">
        <v>9965</v>
      </c>
      <c r="N381" s="29">
        <v>775</v>
      </c>
      <c r="O381" s="29">
        <f t="shared" si="5"/>
        <v>2025</v>
      </c>
      <c r="P381" s="29"/>
      <c r="Q381" s="29"/>
      <c r="R381" s="29"/>
      <c r="S381" s="29"/>
      <c r="T381" s="29"/>
      <c r="U381" s="29"/>
      <c r="V381" s="32"/>
    </row>
    <row r="382" spans="1:22" x14ac:dyDescent="0.35">
      <c r="A382" s="23">
        <v>45685</v>
      </c>
      <c r="B382" s="23" t="s">
        <v>41</v>
      </c>
      <c r="C382" s="24" t="s">
        <v>23</v>
      </c>
      <c r="D382" s="24" t="s">
        <v>50</v>
      </c>
      <c r="E382" s="24" t="s">
        <v>18</v>
      </c>
      <c r="F382" s="24" t="s">
        <v>44</v>
      </c>
      <c r="G382" s="24" t="s">
        <v>15</v>
      </c>
      <c r="H382" s="24" t="s">
        <v>34</v>
      </c>
      <c r="I382" s="24" t="s">
        <v>22</v>
      </c>
      <c r="J382" s="25">
        <v>76</v>
      </c>
      <c r="K382" s="24">
        <v>33</v>
      </c>
      <c r="L382" s="24">
        <v>2508</v>
      </c>
      <c r="M382" s="24">
        <v>1658</v>
      </c>
      <c r="N382" s="24">
        <v>850</v>
      </c>
      <c r="O382" s="24">
        <f t="shared" si="5"/>
        <v>2025</v>
      </c>
      <c r="P382" s="24"/>
      <c r="Q382" s="24"/>
      <c r="R382" s="24"/>
      <c r="S382" s="24"/>
      <c r="T382" s="24"/>
      <c r="U382" s="24"/>
      <c r="V382" s="27"/>
    </row>
    <row r="383" spans="1:22" x14ac:dyDescent="0.35">
      <c r="A383" s="28">
        <v>45686</v>
      </c>
      <c r="B383" s="28" t="s">
        <v>41</v>
      </c>
      <c r="C383" s="29" t="s">
        <v>23</v>
      </c>
      <c r="D383" s="29" t="s">
        <v>55</v>
      </c>
      <c r="E383" s="29" t="s">
        <v>29</v>
      </c>
      <c r="F383" s="29" t="s">
        <v>43</v>
      </c>
      <c r="G383" s="29" t="s">
        <v>11</v>
      </c>
      <c r="H383" s="29" t="s">
        <v>34</v>
      </c>
      <c r="I383" s="29" t="s">
        <v>22</v>
      </c>
      <c r="J383" s="30">
        <v>156</v>
      </c>
      <c r="K383" s="29">
        <v>49</v>
      </c>
      <c r="L383" s="29">
        <v>7644</v>
      </c>
      <c r="M383" s="29">
        <v>6911</v>
      </c>
      <c r="N383" s="29">
        <v>733</v>
      </c>
      <c r="O383" s="29">
        <f t="shared" si="5"/>
        <v>2025</v>
      </c>
      <c r="P383" s="29"/>
      <c r="Q383" s="29"/>
      <c r="R383" s="29"/>
      <c r="S383" s="29"/>
      <c r="T383" s="29"/>
      <c r="U383" s="29"/>
      <c r="V383" s="32"/>
    </row>
    <row r="384" spans="1:22" x14ac:dyDescent="0.35">
      <c r="A384" s="23">
        <v>45687</v>
      </c>
      <c r="B384" s="23" t="s">
        <v>41</v>
      </c>
      <c r="C384" s="24" t="s">
        <v>23</v>
      </c>
      <c r="D384" s="24" t="s">
        <v>54</v>
      </c>
      <c r="E384" s="24" t="s">
        <v>28</v>
      </c>
      <c r="F384" s="24" t="s">
        <v>45</v>
      </c>
      <c r="G384" s="24" t="s">
        <v>21</v>
      </c>
      <c r="H384" s="24" t="s">
        <v>31</v>
      </c>
      <c r="I384" s="24" t="s">
        <v>12</v>
      </c>
      <c r="J384" s="25">
        <v>151</v>
      </c>
      <c r="K384" s="24">
        <v>86</v>
      </c>
      <c r="L384" s="24">
        <v>12986</v>
      </c>
      <c r="M384" s="24">
        <v>12529</v>
      </c>
      <c r="N384" s="24">
        <v>457</v>
      </c>
      <c r="O384" s="24">
        <f t="shared" si="5"/>
        <v>2025</v>
      </c>
      <c r="P384" s="24"/>
      <c r="Q384" s="24"/>
      <c r="R384" s="24"/>
      <c r="S384" s="24"/>
      <c r="T384" s="24"/>
      <c r="U384" s="24"/>
      <c r="V384" s="27"/>
    </row>
    <row r="385" spans="1:22" x14ac:dyDescent="0.35">
      <c r="A385" s="28">
        <v>45688</v>
      </c>
      <c r="B385" s="28" t="s">
        <v>41</v>
      </c>
      <c r="C385" s="29" t="s">
        <v>23</v>
      </c>
      <c r="D385" s="29" t="s">
        <v>53</v>
      </c>
      <c r="E385" s="29" t="s">
        <v>27</v>
      </c>
      <c r="F385" s="29" t="s">
        <v>46</v>
      </c>
      <c r="G385" s="29" t="s">
        <v>26</v>
      </c>
      <c r="H385" s="29" t="s">
        <v>33</v>
      </c>
      <c r="I385" s="29" t="s">
        <v>19</v>
      </c>
      <c r="J385" s="30">
        <v>156</v>
      </c>
      <c r="K385" s="29">
        <v>58</v>
      </c>
      <c r="L385" s="29">
        <v>9048</v>
      </c>
      <c r="M385" s="29">
        <v>8843</v>
      </c>
      <c r="N385" s="29">
        <v>205</v>
      </c>
      <c r="O385" s="29">
        <f t="shared" si="5"/>
        <v>2025</v>
      </c>
      <c r="P385" s="29"/>
      <c r="Q385" s="29"/>
      <c r="R385" s="29"/>
      <c r="S385" s="29"/>
      <c r="T385" s="29"/>
      <c r="U385" s="29"/>
      <c r="V385" s="32"/>
    </row>
    <row r="386" spans="1:22" x14ac:dyDescent="0.35">
      <c r="A386" s="23">
        <v>45689</v>
      </c>
      <c r="B386" s="23" t="s">
        <v>39</v>
      </c>
      <c r="C386" s="24" t="s">
        <v>13</v>
      </c>
      <c r="D386" s="24" t="s">
        <v>51</v>
      </c>
      <c r="E386" s="24" t="s">
        <v>20</v>
      </c>
      <c r="F386" s="24" t="s">
        <v>45</v>
      </c>
      <c r="G386" s="24" t="s">
        <v>21</v>
      </c>
      <c r="H386" s="24" t="s">
        <v>35</v>
      </c>
      <c r="I386" s="24" t="s">
        <v>24</v>
      </c>
      <c r="J386" s="25">
        <v>151</v>
      </c>
      <c r="K386" s="24">
        <v>94</v>
      </c>
      <c r="L386" s="24">
        <v>14194</v>
      </c>
      <c r="M386" s="24">
        <v>14012</v>
      </c>
      <c r="N386" s="24">
        <v>182</v>
      </c>
      <c r="O386" s="24">
        <f t="shared" si="5"/>
        <v>2025</v>
      </c>
      <c r="P386" s="24"/>
      <c r="Q386" s="24"/>
      <c r="R386" s="24"/>
      <c r="S386" s="24"/>
      <c r="T386" s="24"/>
      <c r="U386" s="24"/>
      <c r="V386" s="27"/>
    </row>
    <row r="387" spans="1:22" x14ac:dyDescent="0.35">
      <c r="A387" s="28">
        <v>45690</v>
      </c>
      <c r="B387" s="28" t="s">
        <v>40</v>
      </c>
      <c r="C387" s="29" t="s">
        <v>17</v>
      </c>
      <c r="D387" s="29" t="s">
        <v>49</v>
      </c>
      <c r="E387" s="29" t="s">
        <v>14</v>
      </c>
      <c r="F387" s="29" t="s">
        <v>44</v>
      </c>
      <c r="G387" s="29" t="s">
        <v>15</v>
      </c>
      <c r="H387" s="29" t="s">
        <v>34</v>
      </c>
      <c r="I387" s="29" t="s">
        <v>22</v>
      </c>
      <c r="J387" s="30">
        <v>93</v>
      </c>
      <c r="K387" s="29">
        <v>54</v>
      </c>
      <c r="L387" s="29">
        <v>5022</v>
      </c>
      <c r="M387" s="29">
        <v>4865</v>
      </c>
      <c r="N387" s="29">
        <v>157</v>
      </c>
      <c r="O387" s="29">
        <f t="shared" ref="O387:O450" si="6">YEAR(A387)</f>
        <v>2025</v>
      </c>
      <c r="P387" s="29"/>
      <c r="Q387" s="29"/>
      <c r="R387" s="29"/>
      <c r="S387" s="29"/>
      <c r="T387" s="29"/>
      <c r="U387" s="29"/>
      <c r="V387" s="32"/>
    </row>
    <row r="388" spans="1:22" x14ac:dyDescent="0.35">
      <c r="A388" s="23">
        <v>45691</v>
      </c>
      <c r="B388" s="23" t="s">
        <v>39</v>
      </c>
      <c r="C388" s="24" t="s">
        <v>13</v>
      </c>
      <c r="D388" s="24" t="s">
        <v>50</v>
      </c>
      <c r="E388" s="24" t="s">
        <v>18</v>
      </c>
      <c r="F388" s="24" t="s">
        <v>44</v>
      </c>
      <c r="G388" s="24" t="s">
        <v>15</v>
      </c>
      <c r="H388" s="24" t="s">
        <v>34</v>
      </c>
      <c r="I388" s="24" t="s">
        <v>22</v>
      </c>
      <c r="J388" s="25">
        <v>56</v>
      </c>
      <c r="K388" s="24">
        <v>47</v>
      </c>
      <c r="L388" s="24">
        <v>2632</v>
      </c>
      <c r="M388" s="24">
        <v>1883</v>
      </c>
      <c r="N388" s="24">
        <v>749</v>
      </c>
      <c r="O388" s="24">
        <f t="shared" si="6"/>
        <v>2025</v>
      </c>
      <c r="P388" s="24"/>
      <c r="Q388" s="24"/>
      <c r="R388" s="24"/>
      <c r="S388" s="24"/>
      <c r="T388" s="24"/>
      <c r="U388" s="24"/>
      <c r="V388" s="27"/>
    </row>
    <row r="389" spans="1:22" x14ac:dyDescent="0.35">
      <c r="A389" s="28">
        <v>45692</v>
      </c>
      <c r="B389" s="28" t="s">
        <v>40</v>
      </c>
      <c r="C389" s="29" t="s">
        <v>17</v>
      </c>
      <c r="D389" s="29" t="s">
        <v>48</v>
      </c>
      <c r="E389" s="29" t="s">
        <v>10</v>
      </c>
      <c r="F389" s="29" t="s">
        <v>43</v>
      </c>
      <c r="G389" s="29" t="s">
        <v>11</v>
      </c>
      <c r="H389" s="29" t="s">
        <v>32</v>
      </c>
      <c r="I389" s="29" t="s">
        <v>16</v>
      </c>
      <c r="J389" s="30">
        <v>178</v>
      </c>
      <c r="K389" s="29">
        <v>98</v>
      </c>
      <c r="L389" s="29">
        <v>17444</v>
      </c>
      <c r="M389" s="29">
        <v>16869</v>
      </c>
      <c r="N389" s="29">
        <v>575</v>
      </c>
      <c r="O389" s="29">
        <f t="shared" si="6"/>
        <v>2025</v>
      </c>
      <c r="P389" s="29"/>
      <c r="Q389" s="29"/>
      <c r="R389" s="29"/>
      <c r="S389" s="29"/>
      <c r="T389" s="29"/>
      <c r="U389" s="29"/>
      <c r="V389" s="32"/>
    </row>
    <row r="390" spans="1:22" x14ac:dyDescent="0.35">
      <c r="A390" s="23">
        <v>45693</v>
      </c>
      <c r="B390" s="23" t="s">
        <v>40</v>
      </c>
      <c r="C390" s="24" t="s">
        <v>17</v>
      </c>
      <c r="D390" s="24" t="s">
        <v>52</v>
      </c>
      <c r="E390" s="24" t="s">
        <v>25</v>
      </c>
      <c r="F390" s="24" t="s">
        <v>46</v>
      </c>
      <c r="G390" s="24" t="s">
        <v>26</v>
      </c>
      <c r="H390" s="24" t="s">
        <v>31</v>
      </c>
      <c r="I390" s="24" t="s">
        <v>12</v>
      </c>
      <c r="J390" s="25">
        <v>81</v>
      </c>
      <c r="K390" s="24">
        <v>83</v>
      </c>
      <c r="L390" s="24">
        <v>6723</v>
      </c>
      <c r="M390" s="24">
        <v>5867</v>
      </c>
      <c r="N390" s="24">
        <v>856</v>
      </c>
      <c r="O390" s="24">
        <f t="shared" si="6"/>
        <v>2025</v>
      </c>
      <c r="P390" s="24"/>
      <c r="Q390" s="24"/>
      <c r="R390" s="24"/>
      <c r="S390" s="24"/>
      <c r="T390" s="24"/>
      <c r="U390" s="24"/>
      <c r="V390" s="27"/>
    </row>
    <row r="391" spans="1:22" x14ac:dyDescent="0.35">
      <c r="A391" s="28">
        <v>45694</v>
      </c>
      <c r="B391" s="28" t="s">
        <v>38</v>
      </c>
      <c r="C391" s="29" t="s">
        <v>9</v>
      </c>
      <c r="D391" s="29" t="s">
        <v>52</v>
      </c>
      <c r="E391" s="29" t="s">
        <v>25</v>
      </c>
      <c r="F391" s="29" t="s">
        <v>46</v>
      </c>
      <c r="G391" s="29" t="s">
        <v>26</v>
      </c>
      <c r="H391" s="29" t="s">
        <v>33</v>
      </c>
      <c r="I391" s="29" t="s">
        <v>19</v>
      </c>
      <c r="J391" s="30">
        <v>38</v>
      </c>
      <c r="K391" s="29">
        <v>43</v>
      </c>
      <c r="L391" s="29">
        <v>1634</v>
      </c>
      <c r="M391" s="29">
        <v>1072</v>
      </c>
      <c r="N391" s="29">
        <v>562</v>
      </c>
      <c r="O391" s="29">
        <f t="shared" si="6"/>
        <v>2025</v>
      </c>
      <c r="P391" s="29"/>
      <c r="Q391" s="29"/>
      <c r="R391" s="29"/>
      <c r="S391" s="29"/>
      <c r="T391" s="29"/>
      <c r="U391" s="29"/>
      <c r="V391" s="32"/>
    </row>
    <row r="392" spans="1:22" x14ac:dyDescent="0.35">
      <c r="A392" s="23">
        <v>45695</v>
      </c>
      <c r="B392" s="23" t="s">
        <v>40</v>
      </c>
      <c r="C392" s="24" t="s">
        <v>17</v>
      </c>
      <c r="D392" s="24" t="s">
        <v>51</v>
      </c>
      <c r="E392" s="24" t="s">
        <v>20</v>
      </c>
      <c r="F392" s="24" t="s">
        <v>45</v>
      </c>
      <c r="G392" s="24" t="s">
        <v>21</v>
      </c>
      <c r="H392" s="24" t="s">
        <v>35</v>
      </c>
      <c r="I392" s="24" t="s">
        <v>24</v>
      </c>
      <c r="J392" s="25">
        <v>165</v>
      </c>
      <c r="K392" s="24">
        <v>35</v>
      </c>
      <c r="L392" s="24">
        <v>5775</v>
      </c>
      <c r="M392" s="24">
        <v>4817</v>
      </c>
      <c r="N392" s="24">
        <v>958</v>
      </c>
      <c r="O392" s="24">
        <f t="shared" si="6"/>
        <v>2025</v>
      </c>
      <c r="P392" s="24"/>
      <c r="Q392" s="24"/>
      <c r="R392" s="24"/>
      <c r="S392" s="24"/>
      <c r="T392" s="24"/>
      <c r="U392" s="24"/>
      <c r="V392" s="27"/>
    </row>
    <row r="393" spans="1:22" x14ac:dyDescent="0.35">
      <c r="A393" s="28">
        <v>45696</v>
      </c>
      <c r="B393" s="28" t="s">
        <v>41</v>
      </c>
      <c r="C393" s="29" t="s">
        <v>23</v>
      </c>
      <c r="D393" s="29" t="s">
        <v>50</v>
      </c>
      <c r="E393" s="29" t="s">
        <v>18</v>
      </c>
      <c r="F393" s="29" t="s">
        <v>44</v>
      </c>
      <c r="G393" s="29" t="s">
        <v>15</v>
      </c>
      <c r="H393" s="29" t="s">
        <v>35</v>
      </c>
      <c r="I393" s="29" t="s">
        <v>24</v>
      </c>
      <c r="J393" s="30">
        <v>52</v>
      </c>
      <c r="K393" s="29">
        <v>58</v>
      </c>
      <c r="L393" s="29">
        <v>3016</v>
      </c>
      <c r="M393" s="29">
        <v>2462</v>
      </c>
      <c r="N393" s="29">
        <v>554</v>
      </c>
      <c r="O393" s="29">
        <f t="shared" si="6"/>
        <v>2025</v>
      </c>
      <c r="P393" s="29"/>
      <c r="Q393" s="29"/>
      <c r="R393" s="29"/>
      <c r="S393" s="29"/>
      <c r="T393" s="29"/>
      <c r="U393" s="29"/>
      <c r="V393" s="32"/>
    </row>
    <row r="394" spans="1:22" x14ac:dyDescent="0.35">
      <c r="A394" s="23">
        <v>45697</v>
      </c>
      <c r="B394" s="23" t="s">
        <v>38</v>
      </c>
      <c r="C394" s="24" t="s">
        <v>9</v>
      </c>
      <c r="D394" s="24" t="s">
        <v>54</v>
      </c>
      <c r="E394" s="24" t="s">
        <v>28</v>
      </c>
      <c r="F394" s="24" t="s">
        <v>45</v>
      </c>
      <c r="G394" s="24" t="s">
        <v>21</v>
      </c>
      <c r="H394" s="24" t="s">
        <v>31</v>
      </c>
      <c r="I394" s="24" t="s">
        <v>12</v>
      </c>
      <c r="J394" s="25">
        <v>160</v>
      </c>
      <c r="K394" s="24">
        <v>88</v>
      </c>
      <c r="L394" s="24">
        <v>14080</v>
      </c>
      <c r="M394" s="24">
        <v>13097</v>
      </c>
      <c r="N394" s="24">
        <v>983</v>
      </c>
      <c r="O394" s="24">
        <f t="shared" si="6"/>
        <v>2025</v>
      </c>
      <c r="P394" s="24"/>
      <c r="Q394" s="24"/>
      <c r="R394" s="24"/>
      <c r="S394" s="24"/>
      <c r="T394" s="24"/>
      <c r="U394" s="24"/>
      <c r="V394" s="27"/>
    </row>
    <row r="395" spans="1:22" x14ac:dyDescent="0.35">
      <c r="A395" s="28">
        <v>45698</v>
      </c>
      <c r="B395" s="28" t="s">
        <v>39</v>
      </c>
      <c r="C395" s="29" t="s">
        <v>13</v>
      </c>
      <c r="D395" s="29" t="s">
        <v>50</v>
      </c>
      <c r="E395" s="29" t="s">
        <v>18</v>
      </c>
      <c r="F395" s="29" t="s">
        <v>44</v>
      </c>
      <c r="G395" s="29" t="s">
        <v>15</v>
      </c>
      <c r="H395" s="29" t="s">
        <v>33</v>
      </c>
      <c r="I395" s="29" t="s">
        <v>19</v>
      </c>
      <c r="J395" s="30">
        <v>156</v>
      </c>
      <c r="K395" s="29">
        <v>78</v>
      </c>
      <c r="L395" s="29">
        <v>12168</v>
      </c>
      <c r="M395" s="29">
        <v>11220</v>
      </c>
      <c r="N395" s="29">
        <v>948</v>
      </c>
      <c r="O395" s="29">
        <f t="shared" si="6"/>
        <v>2025</v>
      </c>
      <c r="P395" s="29"/>
      <c r="Q395" s="29"/>
      <c r="R395" s="29"/>
      <c r="S395" s="29"/>
      <c r="T395" s="29"/>
      <c r="U395" s="29"/>
      <c r="V395" s="32"/>
    </row>
    <row r="396" spans="1:22" x14ac:dyDescent="0.35">
      <c r="A396" s="23">
        <v>45699</v>
      </c>
      <c r="B396" s="23" t="s">
        <v>38</v>
      </c>
      <c r="C396" s="24" t="s">
        <v>9</v>
      </c>
      <c r="D396" s="24" t="s">
        <v>51</v>
      </c>
      <c r="E396" s="24" t="s">
        <v>20</v>
      </c>
      <c r="F396" s="24" t="s">
        <v>45</v>
      </c>
      <c r="G396" s="24" t="s">
        <v>21</v>
      </c>
      <c r="H396" s="24" t="s">
        <v>34</v>
      </c>
      <c r="I396" s="24" t="s">
        <v>22</v>
      </c>
      <c r="J396" s="25">
        <v>90</v>
      </c>
      <c r="K396" s="24">
        <v>99</v>
      </c>
      <c r="L396" s="24">
        <v>8910</v>
      </c>
      <c r="M396" s="24">
        <v>8114</v>
      </c>
      <c r="N396" s="24">
        <v>796</v>
      </c>
      <c r="O396" s="24">
        <f t="shared" si="6"/>
        <v>2025</v>
      </c>
      <c r="P396" s="24"/>
      <c r="Q396" s="24"/>
      <c r="R396" s="24"/>
      <c r="S396" s="24"/>
      <c r="T396" s="24"/>
      <c r="U396" s="24"/>
      <c r="V396" s="27"/>
    </row>
    <row r="397" spans="1:22" x14ac:dyDescent="0.35">
      <c r="A397" s="28">
        <v>45700</v>
      </c>
      <c r="B397" s="28" t="s">
        <v>38</v>
      </c>
      <c r="C397" s="29" t="s">
        <v>9</v>
      </c>
      <c r="D397" s="29" t="s">
        <v>52</v>
      </c>
      <c r="E397" s="29" t="s">
        <v>25</v>
      </c>
      <c r="F397" s="29" t="s">
        <v>46</v>
      </c>
      <c r="G397" s="29" t="s">
        <v>26</v>
      </c>
      <c r="H397" s="29" t="s">
        <v>33</v>
      </c>
      <c r="I397" s="29" t="s">
        <v>19</v>
      </c>
      <c r="J397" s="30">
        <v>127</v>
      </c>
      <c r="K397" s="29">
        <v>76</v>
      </c>
      <c r="L397" s="29">
        <v>9652</v>
      </c>
      <c r="M397" s="29">
        <v>8847</v>
      </c>
      <c r="N397" s="29">
        <v>805</v>
      </c>
      <c r="O397" s="29">
        <f t="shared" si="6"/>
        <v>2025</v>
      </c>
      <c r="P397" s="29"/>
      <c r="Q397" s="29"/>
      <c r="R397" s="29"/>
      <c r="S397" s="29"/>
      <c r="T397" s="29"/>
      <c r="U397" s="29"/>
      <c r="V397" s="32"/>
    </row>
    <row r="398" spans="1:22" x14ac:dyDescent="0.35">
      <c r="A398" s="23">
        <v>45701</v>
      </c>
      <c r="B398" s="23" t="s">
        <v>41</v>
      </c>
      <c r="C398" s="24" t="s">
        <v>23</v>
      </c>
      <c r="D398" s="24" t="s">
        <v>54</v>
      </c>
      <c r="E398" s="24" t="s">
        <v>28</v>
      </c>
      <c r="F398" s="24" t="s">
        <v>45</v>
      </c>
      <c r="G398" s="24" t="s">
        <v>21</v>
      </c>
      <c r="H398" s="24" t="s">
        <v>32</v>
      </c>
      <c r="I398" s="24" t="s">
        <v>16</v>
      </c>
      <c r="J398" s="25">
        <v>131</v>
      </c>
      <c r="K398" s="24">
        <v>85</v>
      </c>
      <c r="L398" s="24">
        <v>11135</v>
      </c>
      <c r="M398" s="24">
        <v>10866</v>
      </c>
      <c r="N398" s="24">
        <v>269</v>
      </c>
      <c r="O398" s="24">
        <f t="shared" si="6"/>
        <v>2025</v>
      </c>
      <c r="P398" s="24"/>
      <c r="Q398" s="24"/>
      <c r="R398" s="24"/>
      <c r="S398" s="24"/>
      <c r="T398" s="24"/>
      <c r="U398" s="24"/>
      <c r="V398" s="27"/>
    </row>
    <row r="399" spans="1:22" x14ac:dyDescent="0.35">
      <c r="A399" s="28">
        <v>45702</v>
      </c>
      <c r="B399" s="28" t="s">
        <v>41</v>
      </c>
      <c r="C399" s="29" t="s">
        <v>23</v>
      </c>
      <c r="D399" s="29" t="s">
        <v>50</v>
      </c>
      <c r="E399" s="29" t="s">
        <v>18</v>
      </c>
      <c r="F399" s="29" t="s">
        <v>44</v>
      </c>
      <c r="G399" s="29" t="s">
        <v>15</v>
      </c>
      <c r="H399" s="29" t="s">
        <v>31</v>
      </c>
      <c r="I399" s="29" t="s">
        <v>12</v>
      </c>
      <c r="J399" s="30">
        <v>69</v>
      </c>
      <c r="K399" s="29">
        <v>55</v>
      </c>
      <c r="L399" s="29">
        <v>3795</v>
      </c>
      <c r="M399" s="29">
        <v>2886</v>
      </c>
      <c r="N399" s="29">
        <v>909</v>
      </c>
      <c r="O399" s="29">
        <f t="shared" si="6"/>
        <v>2025</v>
      </c>
      <c r="P399" s="29"/>
      <c r="Q399" s="29"/>
      <c r="R399" s="29"/>
      <c r="S399" s="29"/>
      <c r="T399" s="29"/>
      <c r="U399" s="29"/>
      <c r="V399" s="32"/>
    </row>
    <row r="400" spans="1:22" x14ac:dyDescent="0.35">
      <c r="A400" s="23">
        <v>45703</v>
      </c>
      <c r="B400" s="23" t="s">
        <v>39</v>
      </c>
      <c r="C400" s="24" t="s">
        <v>13</v>
      </c>
      <c r="D400" s="24" t="s">
        <v>49</v>
      </c>
      <c r="E400" s="24" t="s">
        <v>14</v>
      </c>
      <c r="F400" s="24" t="s">
        <v>44</v>
      </c>
      <c r="G400" s="24" t="s">
        <v>15</v>
      </c>
      <c r="H400" s="24" t="s">
        <v>31</v>
      </c>
      <c r="I400" s="24" t="s">
        <v>12</v>
      </c>
      <c r="J400" s="25">
        <v>67</v>
      </c>
      <c r="K400" s="24">
        <v>77</v>
      </c>
      <c r="L400" s="24">
        <v>5159</v>
      </c>
      <c r="M400" s="24">
        <v>4460</v>
      </c>
      <c r="N400" s="24">
        <v>699</v>
      </c>
      <c r="O400" s="24">
        <f t="shared" si="6"/>
        <v>2025</v>
      </c>
      <c r="P400" s="24"/>
      <c r="Q400" s="24"/>
      <c r="R400" s="24"/>
      <c r="S400" s="24"/>
      <c r="T400" s="24"/>
      <c r="U400" s="24"/>
      <c r="V400" s="27"/>
    </row>
    <row r="401" spans="1:22" x14ac:dyDescent="0.35">
      <c r="A401" s="28">
        <v>45704</v>
      </c>
      <c r="B401" s="28" t="s">
        <v>40</v>
      </c>
      <c r="C401" s="29" t="s">
        <v>17</v>
      </c>
      <c r="D401" s="29" t="s">
        <v>48</v>
      </c>
      <c r="E401" s="29" t="s">
        <v>10</v>
      </c>
      <c r="F401" s="29" t="s">
        <v>43</v>
      </c>
      <c r="G401" s="29" t="s">
        <v>11</v>
      </c>
      <c r="H401" s="29" t="s">
        <v>34</v>
      </c>
      <c r="I401" s="29" t="s">
        <v>22</v>
      </c>
      <c r="J401" s="30">
        <v>192</v>
      </c>
      <c r="K401" s="29">
        <v>39</v>
      </c>
      <c r="L401" s="29">
        <v>7488</v>
      </c>
      <c r="M401" s="29">
        <v>6715</v>
      </c>
      <c r="N401" s="29">
        <v>773</v>
      </c>
      <c r="O401" s="29">
        <f t="shared" si="6"/>
        <v>2025</v>
      </c>
      <c r="P401" s="29"/>
      <c r="Q401" s="29"/>
      <c r="R401" s="29"/>
      <c r="S401" s="29"/>
      <c r="T401" s="29"/>
      <c r="U401" s="29"/>
      <c r="V401" s="32"/>
    </row>
    <row r="402" spans="1:22" x14ac:dyDescent="0.35">
      <c r="A402" s="23">
        <v>45705</v>
      </c>
      <c r="B402" s="23" t="s">
        <v>41</v>
      </c>
      <c r="C402" s="24" t="s">
        <v>23</v>
      </c>
      <c r="D402" s="24" t="s">
        <v>51</v>
      </c>
      <c r="E402" s="24" t="s">
        <v>20</v>
      </c>
      <c r="F402" s="24" t="s">
        <v>45</v>
      </c>
      <c r="G402" s="24" t="s">
        <v>21</v>
      </c>
      <c r="H402" s="24" t="s">
        <v>31</v>
      </c>
      <c r="I402" s="24" t="s">
        <v>12</v>
      </c>
      <c r="J402" s="25">
        <v>111</v>
      </c>
      <c r="K402" s="24">
        <v>50</v>
      </c>
      <c r="L402" s="24">
        <v>5550</v>
      </c>
      <c r="M402" s="24">
        <v>5313</v>
      </c>
      <c r="N402" s="24">
        <v>237</v>
      </c>
      <c r="O402" s="24">
        <f t="shared" si="6"/>
        <v>2025</v>
      </c>
      <c r="P402" s="24"/>
      <c r="Q402" s="24"/>
      <c r="R402" s="24"/>
      <c r="S402" s="24"/>
      <c r="T402" s="24"/>
      <c r="U402" s="24"/>
      <c r="V402" s="27"/>
    </row>
    <row r="403" spans="1:22" x14ac:dyDescent="0.35">
      <c r="A403" s="28">
        <v>45706</v>
      </c>
      <c r="B403" s="28" t="s">
        <v>39</v>
      </c>
      <c r="C403" s="29" t="s">
        <v>13</v>
      </c>
      <c r="D403" s="29" t="s">
        <v>51</v>
      </c>
      <c r="E403" s="29" t="s">
        <v>20</v>
      </c>
      <c r="F403" s="29" t="s">
        <v>45</v>
      </c>
      <c r="G403" s="29" t="s">
        <v>21</v>
      </c>
      <c r="H403" s="29" t="s">
        <v>35</v>
      </c>
      <c r="I403" s="29" t="s">
        <v>24</v>
      </c>
      <c r="J403" s="30">
        <v>35</v>
      </c>
      <c r="K403" s="29">
        <v>85</v>
      </c>
      <c r="L403" s="29">
        <v>2975</v>
      </c>
      <c r="M403" s="29">
        <v>2392</v>
      </c>
      <c r="N403" s="29">
        <v>583</v>
      </c>
      <c r="O403" s="29">
        <f t="shared" si="6"/>
        <v>2025</v>
      </c>
      <c r="P403" s="29"/>
      <c r="Q403" s="29"/>
      <c r="R403" s="29"/>
      <c r="S403" s="29"/>
      <c r="T403" s="29"/>
      <c r="U403" s="29"/>
      <c r="V403" s="32"/>
    </row>
    <row r="404" spans="1:22" x14ac:dyDescent="0.35">
      <c r="A404" s="23">
        <v>45707</v>
      </c>
      <c r="B404" s="23" t="s">
        <v>41</v>
      </c>
      <c r="C404" s="24" t="s">
        <v>23</v>
      </c>
      <c r="D404" s="24" t="s">
        <v>52</v>
      </c>
      <c r="E404" s="24" t="s">
        <v>25</v>
      </c>
      <c r="F404" s="24" t="s">
        <v>46</v>
      </c>
      <c r="G404" s="24" t="s">
        <v>26</v>
      </c>
      <c r="H404" s="24" t="s">
        <v>35</v>
      </c>
      <c r="I404" s="24" t="s">
        <v>24</v>
      </c>
      <c r="J404" s="25">
        <v>165</v>
      </c>
      <c r="K404" s="24">
        <v>65</v>
      </c>
      <c r="L404" s="24">
        <v>10725</v>
      </c>
      <c r="M404" s="24">
        <v>10089</v>
      </c>
      <c r="N404" s="24">
        <v>636</v>
      </c>
      <c r="O404" s="24">
        <f t="shared" si="6"/>
        <v>2025</v>
      </c>
      <c r="P404" s="24"/>
      <c r="Q404" s="24"/>
      <c r="R404" s="24"/>
      <c r="S404" s="24"/>
      <c r="T404" s="24"/>
      <c r="U404" s="24"/>
      <c r="V404" s="27"/>
    </row>
    <row r="405" spans="1:22" x14ac:dyDescent="0.35">
      <c r="A405" s="28">
        <v>45708</v>
      </c>
      <c r="B405" s="28" t="s">
        <v>41</v>
      </c>
      <c r="C405" s="29" t="s">
        <v>23</v>
      </c>
      <c r="D405" s="29" t="s">
        <v>52</v>
      </c>
      <c r="E405" s="29" t="s">
        <v>25</v>
      </c>
      <c r="F405" s="29" t="s">
        <v>46</v>
      </c>
      <c r="G405" s="29" t="s">
        <v>26</v>
      </c>
      <c r="H405" s="29" t="s">
        <v>33</v>
      </c>
      <c r="I405" s="29" t="s">
        <v>19</v>
      </c>
      <c r="J405" s="30">
        <v>67</v>
      </c>
      <c r="K405" s="29">
        <v>39</v>
      </c>
      <c r="L405" s="29">
        <v>2613</v>
      </c>
      <c r="M405" s="29">
        <v>2446</v>
      </c>
      <c r="N405" s="29">
        <v>167</v>
      </c>
      <c r="O405" s="29">
        <f t="shared" si="6"/>
        <v>2025</v>
      </c>
      <c r="P405" s="29"/>
      <c r="Q405" s="29"/>
      <c r="R405" s="29"/>
      <c r="S405" s="29"/>
      <c r="T405" s="29"/>
      <c r="U405" s="29"/>
      <c r="V405" s="32"/>
    </row>
    <row r="406" spans="1:22" x14ac:dyDescent="0.35">
      <c r="A406" s="23">
        <v>45709</v>
      </c>
      <c r="B406" s="23" t="s">
        <v>38</v>
      </c>
      <c r="C406" s="24" t="s">
        <v>9</v>
      </c>
      <c r="D406" s="24" t="s">
        <v>54</v>
      </c>
      <c r="E406" s="24" t="s">
        <v>28</v>
      </c>
      <c r="F406" s="24" t="s">
        <v>45</v>
      </c>
      <c r="G406" s="24" t="s">
        <v>21</v>
      </c>
      <c r="H406" s="24" t="s">
        <v>31</v>
      </c>
      <c r="I406" s="24" t="s">
        <v>12</v>
      </c>
      <c r="J406" s="25">
        <v>134</v>
      </c>
      <c r="K406" s="24">
        <v>75</v>
      </c>
      <c r="L406" s="24">
        <v>10050</v>
      </c>
      <c r="M406" s="24">
        <v>9886</v>
      </c>
      <c r="N406" s="24">
        <v>164</v>
      </c>
      <c r="O406" s="24">
        <f t="shared" si="6"/>
        <v>2025</v>
      </c>
      <c r="P406" s="24"/>
      <c r="Q406" s="24"/>
      <c r="R406" s="24"/>
      <c r="S406" s="24"/>
      <c r="T406" s="24"/>
      <c r="U406" s="24"/>
      <c r="V406" s="27"/>
    </row>
    <row r="407" spans="1:22" x14ac:dyDescent="0.35">
      <c r="A407" s="28">
        <v>45710</v>
      </c>
      <c r="B407" s="28" t="s">
        <v>41</v>
      </c>
      <c r="C407" s="29" t="s">
        <v>23</v>
      </c>
      <c r="D407" s="29" t="s">
        <v>48</v>
      </c>
      <c r="E407" s="29" t="s">
        <v>10</v>
      </c>
      <c r="F407" s="29" t="s">
        <v>43</v>
      </c>
      <c r="G407" s="29" t="s">
        <v>11</v>
      </c>
      <c r="H407" s="29" t="s">
        <v>33</v>
      </c>
      <c r="I407" s="29" t="s">
        <v>19</v>
      </c>
      <c r="J407" s="30">
        <v>82</v>
      </c>
      <c r="K407" s="29">
        <v>45</v>
      </c>
      <c r="L407" s="29">
        <v>3690</v>
      </c>
      <c r="M407" s="29">
        <v>2720</v>
      </c>
      <c r="N407" s="29">
        <v>970</v>
      </c>
      <c r="O407" s="29">
        <f t="shared" si="6"/>
        <v>2025</v>
      </c>
      <c r="P407" s="29"/>
      <c r="Q407" s="29"/>
      <c r="R407" s="29"/>
      <c r="S407" s="29"/>
      <c r="T407" s="29"/>
      <c r="U407" s="29"/>
      <c r="V407" s="32"/>
    </row>
    <row r="408" spans="1:22" x14ac:dyDescent="0.35">
      <c r="A408" s="23">
        <v>45711</v>
      </c>
      <c r="B408" s="23" t="s">
        <v>38</v>
      </c>
      <c r="C408" s="24" t="s">
        <v>9</v>
      </c>
      <c r="D408" s="24" t="s">
        <v>55</v>
      </c>
      <c r="E408" s="24" t="s">
        <v>29</v>
      </c>
      <c r="F408" s="24" t="s">
        <v>43</v>
      </c>
      <c r="G408" s="24" t="s">
        <v>11</v>
      </c>
      <c r="H408" s="24" t="s">
        <v>32</v>
      </c>
      <c r="I408" s="24" t="s">
        <v>16</v>
      </c>
      <c r="J408" s="25">
        <v>121</v>
      </c>
      <c r="K408" s="24">
        <v>48</v>
      </c>
      <c r="L408" s="24">
        <v>5808</v>
      </c>
      <c r="M408" s="24">
        <v>5338</v>
      </c>
      <c r="N408" s="24">
        <v>470</v>
      </c>
      <c r="O408" s="24">
        <f t="shared" si="6"/>
        <v>2025</v>
      </c>
      <c r="P408" s="24"/>
      <c r="Q408" s="24"/>
      <c r="R408" s="24"/>
      <c r="S408" s="24"/>
      <c r="T408" s="24"/>
      <c r="U408" s="24"/>
      <c r="V408" s="27"/>
    </row>
    <row r="409" spans="1:22" x14ac:dyDescent="0.35">
      <c r="A409" s="28">
        <v>45712</v>
      </c>
      <c r="B409" s="28" t="s">
        <v>41</v>
      </c>
      <c r="C409" s="29" t="s">
        <v>23</v>
      </c>
      <c r="D409" s="29" t="s">
        <v>53</v>
      </c>
      <c r="E409" s="29" t="s">
        <v>27</v>
      </c>
      <c r="F409" s="29" t="s">
        <v>46</v>
      </c>
      <c r="G409" s="29" t="s">
        <v>26</v>
      </c>
      <c r="H409" s="29" t="s">
        <v>32</v>
      </c>
      <c r="I409" s="29" t="s">
        <v>16</v>
      </c>
      <c r="J409" s="30">
        <v>26</v>
      </c>
      <c r="K409" s="29">
        <v>66</v>
      </c>
      <c r="L409" s="29">
        <v>1716</v>
      </c>
      <c r="M409" s="29">
        <v>1420</v>
      </c>
      <c r="N409" s="29">
        <v>296</v>
      </c>
      <c r="O409" s="29">
        <f t="shared" si="6"/>
        <v>2025</v>
      </c>
      <c r="P409" s="29"/>
      <c r="Q409" s="29"/>
      <c r="R409" s="29"/>
      <c r="S409" s="29"/>
      <c r="T409" s="29"/>
      <c r="U409" s="29"/>
      <c r="V409" s="32"/>
    </row>
    <row r="410" spans="1:22" x14ac:dyDescent="0.35">
      <c r="A410" s="23">
        <v>45713</v>
      </c>
      <c r="B410" s="23" t="s">
        <v>39</v>
      </c>
      <c r="C410" s="24" t="s">
        <v>13</v>
      </c>
      <c r="D410" s="24" t="s">
        <v>52</v>
      </c>
      <c r="E410" s="24" t="s">
        <v>25</v>
      </c>
      <c r="F410" s="24" t="s">
        <v>46</v>
      </c>
      <c r="G410" s="24" t="s">
        <v>26</v>
      </c>
      <c r="H410" s="24" t="s">
        <v>33</v>
      </c>
      <c r="I410" s="24" t="s">
        <v>19</v>
      </c>
      <c r="J410" s="25">
        <v>96</v>
      </c>
      <c r="K410" s="24">
        <v>65</v>
      </c>
      <c r="L410" s="24">
        <v>6240</v>
      </c>
      <c r="M410" s="24">
        <v>5749</v>
      </c>
      <c r="N410" s="24">
        <v>491</v>
      </c>
      <c r="O410" s="24">
        <f t="shared" si="6"/>
        <v>2025</v>
      </c>
      <c r="P410" s="24"/>
      <c r="Q410" s="24"/>
      <c r="R410" s="24"/>
      <c r="S410" s="24"/>
      <c r="T410" s="24"/>
      <c r="U410" s="24"/>
      <c r="V410" s="27"/>
    </row>
    <row r="411" spans="1:22" x14ac:dyDescent="0.35">
      <c r="A411" s="28">
        <v>45714</v>
      </c>
      <c r="B411" s="28" t="s">
        <v>38</v>
      </c>
      <c r="C411" s="29" t="s">
        <v>9</v>
      </c>
      <c r="D411" s="29" t="s">
        <v>50</v>
      </c>
      <c r="E411" s="29" t="s">
        <v>18</v>
      </c>
      <c r="F411" s="29" t="s">
        <v>44</v>
      </c>
      <c r="G411" s="29" t="s">
        <v>15</v>
      </c>
      <c r="H411" s="29" t="s">
        <v>35</v>
      </c>
      <c r="I411" s="29" t="s">
        <v>24</v>
      </c>
      <c r="J411" s="30">
        <v>140</v>
      </c>
      <c r="K411" s="29">
        <v>80</v>
      </c>
      <c r="L411" s="29">
        <v>11200</v>
      </c>
      <c r="M411" s="29">
        <v>10505</v>
      </c>
      <c r="N411" s="29">
        <v>695</v>
      </c>
      <c r="O411" s="29">
        <f t="shared" si="6"/>
        <v>2025</v>
      </c>
      <c r="P411" s="29"/>
      <c r="Q411" s="29"/>
      <c r="R411" s="29"/>
      <c r="S411" s="29"/>
      <c r="T411" s="29"/>
      <c r="U411" s="29"/>
      <c r="V411" s="32"/>
    </row>
    <row r="412" spans="1:22" x14ac:dyDescent="0.35">
      <c r="A412" s="23">
        <v>45715</v>
      </c>
      <c r="B412" s="23" t="s">
        <v>41</v>
      </c>
      <c r="C412" s="24" t="s">
        <v>23</v>
      </c>
      <c r="D412" s="24" t="s">
        <v>49</v>
      </c>
      <c r="E412" s="24" t="s">
        <v>14</v>
      </c>
      <c r="F412" s="24" t="s">
        <v>44</v>
      </c>
      <c r="G412" s="24" t="s">
        <v>15</v>
      </c>
      <c r="H412" s="24" t="s">
        <v>34</v>
      </c>
      <c r="I412" s="24" t="s">
        <v>22</v>
      </c>
      <c r="J412" s="25">
        <v>151</v>
      </c>
      <c r="K412" s="24">
        <v>86</v>
      </c>
      <c r="L412" s="24">
        <v>12986</v>
      </c>
      <c r="M412" s="24">
        <v>12229</v>
      </c>
      <c r="N412" s="24">
        <v>757</v>
      </c>
      <c r="O412" s="24">
        <f t="shared" si="6"/>
        <v>2025</v>
      </c>
      <c r="P412" s="24"/>
      <c r="Q412" s="24"/>
      <c r="R412" s="24"/>
      <c r="S412" s="24"/>
      <c r="T412" s="24"/>
      <c r="U412" s="24"/>
      <c r="V412" s="27"/>
    </row>
    <row r="413" spans="1:22" x14ac:dyDescent="0.35">
      <c r="A413" s="28">
        <v>45716</v>
      </c>
      <c r="B413" s="28" t="s">
        <v>40</v>
      </c>
      <c r="C413" s="29" t="s">
        <v>17</v>
      </c>
      <c r="D413" s="29" t="s">
        <v>49</v>
      </c>
      <c r="E413" s="29" t="s">
        <v>14</v>
      </c>
      <c r="F413" s="29" t="s">
        <v>44</v>
      </c>
      <c r="G413" s="29" t="s">
        <v>15</v>
      </c>
      <c r="H413" s="29" t="s">
        <v>34</v>
      </c>
      <c r="I413" s="29" t="s">
        <v>22</v>
      </c>
      <c r="J413" s="30">
        <v>116</v>
      </c>
      <c r="K413" s="29">
        <v>89</v>
      </c>
      <c r="L413" s="29">
        <v>10324</v>
      </c>
      <c r="M413" s="29">
        <v>9788</v>
      </c>
      <c r="N413" s="29">
        <v>536</v>
      </c>
      <c r="O413" s="29">
        <f t="shared" si="6"/>
        <v>2025</v>
      </c>
      <c r="P413" s="29"/>
      <c r="Q413" s="29"/>
      <c r="R413" s="29"/>
      <c r="S413" s="29"/>
      <c r="T413" s="29"/>
      <c r="U413" s="29"/>
      <c r="V413" s="32"/>
    </row>
    <row r="414" spans="1:22" x14ac:dyDescent="0.35">
      <c r="A414" s="23">
        <v>45717</v>
      </c>
      <c r="B414" s="23" t="s">
        <v>40</v>
      </c>
      <c r="C414" s="24" t="s">
        <v>17</v>
      </c>
      <c r="D414" s="24" t="s">
        <v>52</v>
      </c>
      <c r="E414" s="24" t="s">
        <v>25</v>
      </c>
      <c r="F414" s="24" t="s">
        <v>46</v>
      </c>
      <c r="G414" s="24" t="s">
        <v>26</v>
      </c>
      <c r="H414" s="24" t="s">
        <v>33</v>
      </c>
      <c r="I414" s="24" t="s">
        <v>19</v>
      </c>
      <c r="J414" s="25">
        <v>92</v>
      </c>
      <c r="K414" s="24">
        <v>95</v>
      </c>
      <c r="L414" s="24">
        <v>8740</v>
      </c>
      <c r="M414" s="24">
        <v>8626</v>
      </c>
      <c r="N414" s="24">
        <v>114</v>
      </c>
      <c r="O414" s="24">
        <f t="shared" si="6"/>
        <v>2025</v>
      </c>
      <c r="P414" s="24"/>
      <c r="Q414" s="24"/>
      <c r="R414" s="24"/>
      <c r="S414" s="24"/>
      <c r="T414" s="24"/>
      <c r="U414" s="24"/>
      <c r="V414" s="27"/>
    </row>
    <row r="415" spans="1:22" x14ac:dyDescent="0.35">
      <c r="A415" s="28">
        <v>45718</v>
      </c>
      <c r="B415" s="28" t="s">
        <v>38</v>
      </c>
      <c r="C415" s="29" t="s">
        <v>9</v>
      </c>
      <c r="D415" s="29" t="s">
        <v>54</v>
      </c>
      <c r="E415" s="29" t="s">
        <v>28</v>
      </c>
      <c r="F415" s="29" t="s">
        <v>45</v>
      </c>
      <c r="G415" s="29" t="s">
        <v>21</v>
      </c>
      <c r="H415" s="29" t="s">
        <v>33</v>
      </c>
      <c r="I415" s="29" t="s">
        <v>19</v>
      </c>
      <c r="J415" s="30">
        <v>49</v>
      </c>
      <c r="K415" s="29">
        <v>57</v>
      </c>
      <c r="L415" s="29">
        <v>2793</v>
      </c>
      <c r="M415" s="29">
        <v>2329</v>
      </c>
      <c r="N415" s="29">
        <v>464</v>
      </c>
      <c r="O415" s="29">
        <f t="shared" si="6"/>
        <v>2025</v>
      </c>
      <c r="P415" s="29"/>
      <c r="Q415" s="29"/>
      <c r="R415" s="29"/>
      <c r="S415" s="29"/>
      <c r="T415" s="29"/>
      <c r="U415" s="29"/>
      <c r="V415" s="32"/>
    </row>
    <row r="416" spans="1:22" x14ac:dyDescent="0.35">
      <c r="A416" s="23">
        <v>45719</v>
      </c>
      <c r="B416" s="23" t="s">
        <v>39</v>
      </c>
      <c r="C416" s="24" t="s">
        <v>13</v>
      </c>
      <c r="D416" s="24" t="s">
        <v>55</v>
      </c>
      <c r="E416" s="24" t="s">
        <v>29</v>
      </c>
      <c r="F416" s="24" t="s">
        <v>43</v>
      </c>
      <c r="G416" s="24" t="s">
        <v>11</v>
      </c>
      <c r="H416" s="24" t="s">
        <v>33</v>
      </c>
      <c r="I416" s="24" t="s">
        <v>19</v>
      </c>
      <c r="J416" s="25">
        <v>178</v>
      </c>
      <c r="K416" s="24">
        <v>81</v>
      </c>
      <c r="L416" s="24">
        <v>14418</v>
      </c>
      <c r="M416" s="24">
        <v>13873</v>
      </c>
      <c r="N416" s="24">
        <v>545</v>
      </c>
      <c r="O416" s="24">
        <f t="shared" si="6"/>
        <v>2025</v>
      </c>
      <c r="P416" s="24"/>
      <c r="Q416" s="24"/>
      <c r="R416" s="24"/>
      <c r="S416" s="24"/>
      <c r="T416" s="24"/>
      <c r="U416" s="24"/>
      <c r="V416" s="27"/>
    </row>
    <row r="417" spans="1:22" x14ac:dyDescent="0.35">
      <c r="A417" s="28">
        <v>45720</v>
      </c>
      <c r="B417" s="28" t="s">
        <v>39</v>
      </c>
      <c r="C417" s="29" t="s">
        <v>13</v>
      </c>
      <c r="D417" s="29" t="s">
        <v>55</v>
      </c>
      <c r="E417" s="29" t="s">
        <v>29</v>
      </c>
      <c r="F417" s="29" t="s">
        <v>43</v>
      </c>
      <c r="G417" s="29" t="s">
        <v>11</v>
      </c>
      <c r="H417" s="29" t="s">
        <v>32</v>
      </c>
      <c r="I417" s="29" t="s">
        <v>16</v>
      </c>
      <c r="J417" s="30">
        <v>182</v>
      </c>
      <c r="K417" s="29">
        <v>39</v>
      </c>
      <c r="L417" s="29">
        <v>7098</v>
      </c>
      <c r="M417" s="29">
        <v>6536</v>
      </c>
      <c r="N417" s="29">
        <v>562</v>
      </c>
      <c r="O417" s="29">
        <f t="shared" si="6"/>
        <v>2025</v>
      </c>
      <c r="P417" s="29"/>
      <c r="Q417" s="29"/>
      <c r="R417" s="29"/>
      <c r="S417" s="29"/>
      <c r="T417" s="29"/>
      <c r="U417" s="29"/>
      <c r="V417" s="32"/>
    </row>
    <row r="418" spans="1:22" x14ac:dyDescent="0.35">
      <c r="A418" s="23">
        <v>45721</v>
      </c>
      <c r="B418" s="23" t="s">
        <v>41</v>
      </c>
      <c r="C418" s="24" t="s">
        <v>23</v>
      </c>
      <c r="D418" s="24" t="s">
        <v>49</v>
      </c>
      <c r="E418" s="24" t="s">
        <v>14</v>
      </c>
      <c r="F418" s="24" t="s">
        <v>44</v>
      </c>
      <c r="G418" s="24" t="s">
        <v>15</v>
      </c>
      <c r="H418" s="24" t="s">
        <v>33</v>
      </c>
      <c r="I418" s="24" t="s">
        <v>19</v>
      </c>
      <c r="J418" s="25">
        <v>65</v>
      </c>
      <c r="K418" s="24">
        <v>92</v>
      </c>
      <c r="L418" s="24">
        <v>5980</v>
      </c>
      <c r="M418" s="24">
        <v>5744</v>
      </c>
      <c r="N418" s="24">
        <v>236</v>
      </c>
      <c r="O418" s="24">
        <f t="shared" si="6"/>
        <v>2025</v>
      </c>
      <c r="P418" s="24"/>
      <c r="Q418" s="24"/>
      <c r="R418" s="24"/>
      <c r="S418" s="24"/>
      <c r="T418" s="24"/>
      <c r="U418" s="24"/>
      <c r="V418" s="27"/>
    </row>
    <row r="419" spans="1:22" x14ac:dyDescent="0.35">
      <c r="A419" s="28">
        <v>45722</v>
      </c>
      <c r="B419" s="28" t="s">
        <v>39</v>
      </c>
      <c r="C419" s="29" t="s">
        <v>13</v>
      </c>
      <c r="D419" s="29" t="s">
        <v>53</v>
      </c>
      <c r="E419" s="29" t="s">
        <v>27</v>
      </c>
      <c r="F419" s="29" t="s">
        <v>46</v>
      </c>
      <c r="G419" s="29" t="s">
        <v>26</v>
      </c>
      <c r="H419" s="29" t="s">
        <v>31</v>
      </c>
      <c r="I419" s="29" t="s">
        <v>12</v>
      </c>
      <c r="J419" s="30">
        <v>167</v>
      </c>
      <c r="K419" s="29">
        <v>61</v>
      </c>
      <c r="L419" s="29">
        <v>10187</v>
      </c>
      <c r="M419" s="29">
        <v>9841</v>
      </c>
      <c r="N419" s="29">
        <v>346</v>
      </c>
      <c r="O419" s="29">
        <f t="shared" si="6"/>
        <v>2025</v>
      </c>
      <c r="P419" s="29"/>
      <c r="Q419" s="29"/>
      <c r="R419" s="29"/>
      <c r="S419" s="29"/>
      <c r="T419" s="29"/>
      <c r="U419" s="29"/>
      <c r="V419" s="32"/>
    </row>
    <row r="420" spans="1:22" x14ac:dyDescent="0.35">
      <c r="A420" s="23">
        <v>45723</v>
      </c>
      <c r="B420" s="23" t="s">
        <v>40</v>
      </c>
      <c r="C420" s="24" t="s">
        <v>17</v>
      </c>
      <c r="D420" s="24" t="s">
        <v>54</v>
      </c>
      <c r="E420" s="24" t="s">
        <v>28</v>
      </c>
      <c r="F420" s="24" t="s">
        <v>45</v>
      </c>
      <c r="G420" s="24" t="s">
        <v>21</v>
      </c>
      <c r="H420" s="24" t="s">
        <v>32</v>
      </c>
      <c r="I420" s="24" t="s">
        <v>16</v>
      </c>
      <c r="J420" s="25">
        <v>140</v>
      </c>
      <c r="K420" s="24">
        <v>90</v>
      </c>
      <c r="L420" s="24">
        <v>12600</v>
      </c>
      <c r="M420" s="24">
        <v>12253</v>
      </c>
      <c r="N420" s="24">
        <v>347</v>
      </c>
      <c r="O420" s="24">
        <f t="shared" si="6"/>
        <v>2025</v>
      </c>
      <c r="P420" s="24"/>
      <c r="Q420" s="24"/>
      <c r="R420" s="24"/>
      <c r="S420" s="24"/>
      <c r="T420" s="24"/>
      <c r="U420" s="24"/>
      <c r="V420" s="27"/>
    </row>
    <row r="421" spans="1:22" x14ac:dyDescent="0.35">
      <c r="A421" s="28">
        <v>45724</v>
      </c>
      <c r="B421" s="28" t="s">
        <v>41</v>
      </c>
      <c r="C421" s="29" t="s">
        <v>23</v>
      </c>
      <c r="D421" s="29" t="s">
        <v>51</v>
      </c>
      <c r="E421" s="29" t="s">
        <v>20</v>
      </c>
      <c r="F421" s="29" t="s">
        <v>45</v>
      </c>
      <c r="G421" s="29" t="s">
        <v>21</v>
      </c>
      <c r="H421" s="29" t="s">
        <v>34</v>
      </c>
      <c r="I421" s="29" t="s">
        <v>22</v>
      </c>
      <c r="J421" s="30">
        <v>26</v>
      </c>
      <c r="K421" s="29">
        <v>56</v>
      </c>
      <c r="L421" s="29">
        <v>1456</v>
      </c>
      <c r="M421" s="29">
        <v>509</v>
      </c>
      <c r="N421" s="29">
        <v>947</v>
      </c>
      <c r="O421" s="29">
        <f t="shared" si="6"/>
        <v>2025</v>
      </c>
      <c r="P421" s="29"/>
      <c r="Q421" s="29"/>
      <c r="R421" s="29"/>
      <c r="S421" s="29"/>
      <c r="T421" s="29"/>
      <c r="U421" s="29"/>
      <c r="V421" s="32"/>
    </row>
    <row r="422" spans="1:22" x14ac:dyDescent="0.35">
      <c r="A422" s="23">
        <v>45725</v>
      </c>
      <c r="B422" s="23" t="s">
        <v>41</v>
      </c>
      <c r="C422" s="24" t="s">
        <v>23</v>
      </c>
      <c r="D422" s="24" t="s">
        <v>51</v>
      </c>
      <c r="E422" s="24" t="s">
        <v>20</v>
      </c>
      <c r="F422" s="24" t="s">
        <v>45</v>
      </c>
      <c r="G422" s="24" t="s">
        <v>21</v>
      </c>
      <c r="H422" s="24" t="s">
        <v>32</v>
      </c>
      <c r="I422" s="24" t="s">
        <v>16</v>
      </c>
      <c r="J422" s="25">
        <v>142</v>
      </c>
      <c r="K422" s="24">
        <v>99</v>
      </c>
      <c r="L422" s="24">
        <v>14058</v>
      </c>
      <c r="M422" s="24">
        <v>13421</v>
      </c>
      <c r="N422" s="24">
        <v>637</v>
      </c>
      <c r="O422" s="24">
        <f t="shared" si="6"/>
        <v>2025</v>
      </c>
      <c r="P422" s="24"/>
      <c r="Q422" s="24"/>
      <c r="R422" s="24"/>
      <c r="S422" s="24"/>
      <c r="T422" s="24"/>
      <c r="U422" s="24"/>
      <c r="V422" s="27"/>
    </row>
    <row r="423" spans="1:22" x14ac:dyDescent="0.35">
      <c r="A423" s="28">
        <v>45726</v>
      </c>
      <c r="B423" s="28" t="s">
        <v>39</v>
      </c>
      <c r="C423" s="29" t="s">
        <v>13</v>
      </c>
      <c r="D423" s="29" t="s">
        <v>55</v>
      </c>
      <c r="E423" s="29" t="s">
        <v>29</v>
      </c>
      <c r="F423" s="29" t="s">
        <v>43</v>
      </c>
      <c r="G423" s="29" t="s">
        <v>11</v>
      </c>
      <c r="H423" s="29" t="s">
        <v>34</v>
      </c>
      <c r="I423" s="29" t="s">
        <v>22</v>
      </c>
      <c r="J423" s="30">
        <v>62</v>
      </c>
      <c r="K423" s="29">
        <v>40</v>
      </c>
      <c r="L423" s="29">
        <v>2480</v>
      </c>
      <c r="M423" s="29">
        <v>1663</v>
      </c>
      <c r="N423" s="29">
        <v>817</v>
      </c>
      <c r="O423" s="29">
        <f t="shared" si="6"/>
        <v>2025</v>
      </c>
      <c r="P423" s="29"/>
      <c r="Q423" s="29"/>
      <c r="R423" s="29"/>
      <c r="S423" s="29"/>
      <c r="T423" s="29"/>
      <c r="U423" s="29"/>
      <c r="V423" s="32"/>
    </row>
    <row r="424" spans="1:22" x14ac:dyDescent="0.35">
      <c r="A424" s="23">
        <v>45727</v>
      </c>
      <c r="B424" s="23" t="s">
        <v>38</v>
      </c>
      <c r="C424" s="24" t="s">
        <v>9</v>
      </c>
      <c r="D424" s="24" t="s">
        <v>53</v>
      </c>
      <c r="E424" s="24" t="s">
        <v>27</v>
      </c>
      <c r="F424" s="24" t="s">
        <v>46</v>
      </c>
      <c r="G424" s="24" t="s">
        <v>26</v>
      </c>
      <c r="H424" s="24" t="s">
        <v>34</v>
      </c>
      <c r="I424" s="24" t="s">
        <v>22</v>
      </c>
      <c r="J424" s="25">
        <v>190</v>
      </c>
      <c r="K424" s="24">
        <v>91</v>
      </c>
      <c r="L424" s="24">
        <v>17290</v>
      </c>
      <c r="M424" s="24">
        <v>16784</v>
      </c>
      <c r="N424" s="24">
        <v>506</v>
      </c>
      <c r="O424" s="24">
        <f t="shared" si="6"/>
        <v>2025</v>
      </c>
      <c r="P424" s="24"/>
      <c r="Q424" s="24"/>
      <c r="R424" s="24"/>
      <c r="S424" s="24"/>
      <c r="T424" s="24"/>
      <c r="U424" s="24"/>
      <c r="V424" s="27"/>
    </row>
    <row r="425" spans="1:22" x14ac:dyDescent="0.35">
      <c r="A425" s="28">
        <v>45728</v>
      </c>
      <c r="B425" s="28" t="s">
        <v>41</v>
      </c>
      <c r="C425" s="29" t="s">
        <v>23</v>
      </c>
      <c r="D425" s="29" t="s">
        <v>52</v>
      </c>
      <c r="E425" s="29" t="s">
        <v>25</v>
      </c>
      <c r="F425" s="29" t="s">
        <v>46</v>
      </c>
      <c r="G425" s="29" t="s">
        <v>26</v>
      </c>
      <c r="H425" s="29" t="s">
        <v>34</v>
      </c>
      <c r="I425" s="29" t="s">
        <v>22</v>
      </c>
      <c r="J425" s="30">
        <v>28</v>
      </c>
      <c r="K425" s="29">
        <v>58</v>
      </c>
      <c r="L425" s="29">
        <v>1624</v>
      </c>
      <c r="M425" s="29">
        <v>949</v>
      </c>
      <c r="N425" s="29">
        <v>675</v>
      </c>
      <c r="O425" s="29">
        <f t="shared" si="6"/>
        <v>2025</v>
      </c>
      <c r="P425" s="29"/>
      <c r="Q425" s="29"/>
      <c r="R425" s="29"/>
      <c r="S425" s="29"/>
      <c r="T425" s="29"/>
      <c r="U425" s="29"/>
      <c r="V425" s="32"/>
    </row>
    <row r="426" spans="1:22" x14ac:dyDescent="0.35">
      <c r="A426" s="23">
        <v>45729</v>
      </c>
      <c r="B426" s="23" t="s">
        <v>38</v>
      </c>
      <c r="C426" s="24" t="s">
        <v>9</v>
      </c>
      <c r="D426" s="24" t="s">
        <v>48</v>
      </c>
      <c r="E426" s="24" t="s">
        <v>10</v>
      </c>
      <c r="F426" s="24" t="s">
        <v>43</v>
      </c>
      <c r="G426" s="24" t="s">
        <v>11</v>
      </c>
      <c r="H426" s="24" t="s">
        <v>34</v>
      </c>
      <c r="I426" s="24" t="s">
        <v>22</v>
      </c>
      <c r="J426" s="25">
        <v>198</v>
      </c>
      <c r="K426" s="24">
        <v>93</v>
      </c>
      <c r="L426" s="24">
        <v>18414</v>
      </c>
      <c r="M426" s="24">
        <v>17893</v>
      </c>
      <c r="N426" s="24">
        <v>521</v>
      </c>
      <c r="O426" s="24">
        <f t="shared" si="6"/>
        <v>2025</v>
      </c>
      <c r="P426" s="24"/>
      <c r="Q426" s="24"/>
      <c r="R426" s="24"/>
      <c r="S426" s="24"/>
      <c r="T426" s="24"/>
      <c r="U426" s="24"/>
      <c r="V426" s="27"/>
    </row>
    <row r="427" spans="1:22" x14ac:dyDescent="0.35">
      <c r="A427" s="28">
        <v>45730</v>
      </c>
      <c r="B427" s="28" t="s">
        <v>39</v>
      </c>
      <c r="C427" s="29" t="s">
        <v>13</v>
      </c>
      <c r="D427" s="29" t="s">
        <v>49</v>
      </c>
      <c r="E427" s="29" t="s">
        <v>14</v>
      </c>
      <c r="F427" s="29" t="s">
        <v>44</v>
      </c>
      <c r="G427" s="29" t="s">
        <v>15</v>
      </c>
      <c r="H427" s="29" t="s">
        <v>31</v>
      </c>
      <c r="I427" s="29" t="s">
        <v>12</v>
      </c>
      <c r="J427" s="30">
        <v>21</v>
      </c>
      <c r="K427" s="29">
        <v>75</v>
      </c>
      <c r="L427" s="29">
        <v>1575</v>
      </c>
      <c r="M427" s="29">
        <v>1390</v>
      </c>
      <c r="N427" s="29">
        <v>185</v>
      </c>
      <c r="O427" s="29">
        <f t="shared" si="6"/>
        <v>2025</v>
      </c>
      <c r="P427" s="29"/>
      <c r="Q427" s="29"/>
      <c r="R427" s="29"/>
      <c r="S427" s="29"/>
      <c r="T427" s="29"/>
      <c r="U427" s="29"/>
      <c r="V427" s="32"/>
    </row>
    <row r="428" spans="1:22" x14ac:dyDescent="0.35">
      <c r="A428" s="23">
        <v>45731</v>
      </c>
      <c r="B428" s="23" t="s">
        <v>38</v>
      </c>
      <c r="C428" s="24" t="s">
        <v>9</v>
      </c>
      <c r="D428" s="24" t="s">
        <v>48</v>
      </c>
      <c r="E428" s="24" t="s">
        <v>10</v>
      </c>
      <c r="F428" s="24" t="s">
        <v>43</v>
      </c>
      <c r="G428" s="24" t="s">
        <v>11</v>
      </c>
      <c r="H428" s="24" t="s">
        <v>33</v>
      </c>
      <c r="I428" s="24" t="s">
        <v>19</v>
      </c>
      <c r="J428" s="25">
        <v>78</v>
      </c>
      <c r="K428" s="24">
        <v>30</v>
      </c>
      <c r="L428" s="24">
        <v>2340</v>
      </c>
      <c r="M428" s="24">
        <v>2071</v>
      </c>
      <c r="N428" s="24">
        <v>269</v>
      </c>
      <c r="O428" s="24">
        <f t="shared" si="6"/>
        <v>2025</v>
      </c>
      <c r="P428" s="24"/>
      <c r="Q428" s="24"/>
      <c r="R428" s="24"/>
      <c r="S428" s="24"/>
      <c r="T428" s="24"/>
      <c r="U428" s="24"/>
      <c r="V428" s="27"/>
    </row>
    <row r="429" spans="1:22" x14ac:dyDescent="0.35">
      <c r="A429" s="28">
        <v>45732</v>
      </c>
      <c r="B429" s="28" t="s">
        <v>39</v>
      </c>
      <c r="C429" s="29" t="s">
        <v>13</v>
      </c>
      <c r="D429" s="29" t="s">
        <v>52</v>
      </c>
      <c r="E429" s="29" t="s">
        <v>25</v>
      </c>
      <c r="F429" s="29" t="s">
        <v>46</v>
      </c>
      <c r="G429" s="29" t="s">
        <v>26</v>
      </c>
      <c r="H429" s="29" t="s">
        <v>34</v>
      </c>
      <c r="I429" s="29" t="s">
        <v>22</v>
      </c>
      <c r="J429" s="30">
        <v>188</v>
      </c>
      <c r="K429" s="29">
        <v>66</v>
      </c>
      <c r="L429" s="29">
        <v>12408</v>
      </c>
      <c r="M429" s="29">
        <v>11771</v>
      </c>
      <c r="N429" s="29">
        <v>637</v>
      </c>
      <c r="O429" s="29">
        <f t="shared" si="6"/>
        <v>2025</v>
      </c>
      <c r="P429" s="29"/>
      <c r="Q429" s="29"/>
      <c r="R429" s="29"/>
      <c r="S429" s="29"/>
      <c r="T429" s="29"/>
      <c r="U429" s="29"/>
      <c r="V429" s="32"/>
    </row>
    <row r="430" spans="1:22" x14ac:dyDescent="0.35">
      <c r="A430" s="23">
        <v>45733</v>
      </c>
      <c r="B430" s="23" t="s">
        <v>40</v>
      </c>
      <c r="C430" s="24" t="s">
        <v>17</v>
      </c>
      <c r="D430" s="24" t="s">
        <v>50</v>
      </c>
      <c r="E430" s="24" t="s">
        <v>18</v>
      </c>
      <c r="F430" s="24" t="s">
        <v>44</v>
      </c>
      <c r="G430" s="24" t="s">
        <v>15</v>
      </c>
      <c r="H430" s="24" t="s">
        <v>31</v>
      </c>
      <c r="I430" s="24" t="s">
        <v>12</v>
      </c>
      <c r="J430" s="25">
        <v>167</v>
      </c>
      <c r="K430" s="24">
        <v>53</v>
      </c>
      <c r="L430" s="24">
        <v>8851</v>
      </c>
      <c r="M430" s="24">
        <v>8649</v>
      </c>
      <c r="N430" s="24">
        <v>202</v>
      </c>
      <c r="O430" s="24">
        <f t="shared" si="6"/>
        <v>2025</v>
      </c>
      <c r="P430" s="24"/>
      <c r="Q430" s="24"/>
      <c r="R430" s="24"/>
      <c r="S430" s="24"/>
      <c r="T430" s="24"/>
      <c r="U430" s="24"/>
      <c r="V430" s="27"/>
    </row>
    <row r="431" spans="1:22" x14ac:dyDescent="0.35">
      <c r="A431" s="28">
        <v>45734</v>
      </c>
      <c r="B431" s="28" t="s">
        <v>38</v>
      </c>
      <c r="C431" s="29" t="s">
        <v>9</v>
      </c>
      <c r="D431" s="29" t="s">
        <v>55</v>
      </c>
      <c r="E431" s="29" t="s">
        <v>29</v>
      </c>
      <c r="F431" s="29" t="s">
        <v>43</v>
      </c>
      <c r="G431" s="29" t="s">
        <v>11</v>
      </c>
      <c r="H431" s="29" t="s">
        <v>35</v>
      </c>
      <c r="I431" s="29" t="s">
        <v>24</v>
      </c>
      <c r="J431" s="30">
        <v>44</v>
      </c>
      <c r="K431" s="29">
        <v>66</v>
      </c>
      <c r="L431" s="29">
        <v>2904</v>
      </c>
      <c r="M431" s="29">
        <v>2671</v>
      </c>
      <c r="N431" s="29">
        <v>233</v>
      </c>
      <c r="O431" s="29">
        <f t="shared" si="6"/>
        <v>2025</v>
      </c>
      <c r="P431" s="29"/>
      <c r="Q431" s="29"/>
      <c r="R431" s="29"/>
      <c r="S431" s="29"/>
      <c r="T431" s="29"/>
      <c r="U431" s="29"/>
      <c r="V431" s="32"/>
    </row>
    <row r="432" spans="1:22" x14ac:dyDescent="0.35">
      <c r="A432" s="23">
        <v>45735</v>
      </c>
      <c r="B432" s="23" t="s">
        <v>38</v>
      </c>
      <c r="C432" s="24" t="s">
        <v>9</v>
      </c>
      <c r="D432" s="24" t="s">
        <v>53</v>
      </c>
      <c r="E432" s="24" t="s">
        <v>27</v>
      </c>
      <c r="F432" s="24" t="s">
        <v>46</v>
      </c>
      <c r="G432" s="24" t="s">
        <v>26</v>
      </c>
      <c r="H432" s="24" t="s">
        <v>34</v>
      </c>
      <c r="I432" s="24" t="s">
        <v>22</v>
      </c>
      <c r="J432" s="25">
        <v>199</v>
      </c>
      <c r="K432" s="24">
        <v>61</v>
      </c>
      <c r="L432" s="24">
        <v>12139</v>
      </c>
      <c r="M432" s="24">
        <v>11521</v>
      </c>
      <c r="N432" s="24">
        <v>618</v>
      </c>
      <c r="O432" s="24">
        <f t="shared" si="6"/>
        <v>2025</v>
      </c>
      <c r="P432" s="24"/>
      <c r="Q432" s="24"/>
      <c r="R432" s="24"/>
      <c r="S432" s="24"/>
      <c r="T432" s="24"/>
      <c r="U432" s="24"/>
      <c r="V432" s="27"/>
    </row>
    <row r="433" spans="1:22" x14ac:dyDescent="0.35">
      <c r="A433" s="28">
        <v>45736</v>
      </c>
      <c r="B433" s="28" t="s">
        <v>39</v>
      </c>
      <c r="C433" s="29" t="s">
        <v>13</v>
      </c>
      <c r="D433" s="29" t="s">
        <v>53</v>
      </c>
      <c r="E433" s="29" t="s">
        <v>27</v>
      </c>
      <c r="F433" s="29" t="s">
        <v>46</v>
      </c>
      <c r="G433" s="29" t="s">
        <v>26</v>
      </c>
      <c r="H433" s="29" t="s">
        <v>33</v>
      </c>
      <c r="I433" s="29" t="s">
        <v>19</v>
      </c>
      <c r="J433" s="30">
        <v>152</v>
      </c>
      <c r="K433" s="29">
        <v>57</v>
      </c>
      <c r="L433" s="29">
        <v>8664</v>
      </c>
      <c r="M433" s="29">
        <v>7705</v>
      </c>
      <c r="N433" s="29">
        <v>959</v>
      </c>
      <c r="O433" s="29">
        <f t="shared" si="6"/>
        <v>2025</v>
      </c>
      <c r="P433" s="29"/>
      <c r="Q433" s="29"/>
      <c r="R433" s="29"/>
      <c r="S433" s="29"/>
      <c r="T433" s="29"/>
      <c r="U433" s="29"/>
      <c r="V433" s="32"/>
    </row>
    <row r="434" spans="1:22" x14ac:dyDescent="0.35">
      <c r="A434" s="23">
        <v>45737</v>
      </c>
      <c r="B434" s="23" t="s">
        <v>40</v>
      </c>
      <c r="C434" s="24" t="s">
        <v>17</v>
      </c>
      <c r="D434" s="24" t="s">
        <v>50</v>
      </c>
      <c r="E434" s="24" t="s">
        <v>18</v>
      </c>
      <c r="F434" s="24" t="s">
        <v>44</v>
      </c>
      <c r="G434" s="24" t="s">
        <v>15</v>
      </c>
      <c r="H434" s="24" t="s">
        <v>31</v>
      </c>
      <c r="I434" s="24" t="s">
        <v>12</v>
      </c>
      <c r="J434" s="25">
        <v>66</v>
      </c>
      <c r="K434" s="24">
        <v>59</v>
      </c>
      <c r="L434" s="24">
        <v>3894</v>
      </c>
      <c r="M434" s="24">
        <v>3756</v>
      </c>
      <c r="N434" s="24">
        <v>138</v>
      </c>
      <c r="O434" s="24">
        <f t="shared" si="6"/>
        <v>2025</v>
      </c>
      <c r="P434" s="24"/>
      <c r="Q434" s="24"/>
      <c r="R434" s="24"/>
      <c r="S434" s="24"/>
      <c r="T434" s="24"/>
      <c r="U434" s="24"/>
      <c r="V434" s="27"/>
    </row>
    <row r="435" spans="1:22" x14ac:dyDescent="0.35">
      <c r="A435" s="28">
        <v>45738</v>
      </c>
      <c r="B435" s="28" t="s">
        <v>41</v>
      </c>
      <c r="C435" s="29" t="s">
        <v>23</v>
      </c>
      <c r="D435" s="29" t="s">
        <v>53</v>
      </c>
      <c r="E435" s="29" t="s">
        <v>27</v>
      </c>
      <c r="F435" s="29" t="s">
        <v>46</v>
      </c>
      <c r="G435" s="29" t="s">
        <v>26</v>
      </c>
      <c r="H435" s="29" t="s">
        <v>33</v>
      </c>
      <c r="I435" s="29" t="s">
        <v>19</v>
      </c>
      <c r="J435" s="30">
        <v>122</v>
      </c>
      <c r="K435" s="29">
        <v>67</v>
      </c>
      <c r="L435" s="29">
        <v>8174</v>
      </c>
      <c r="M435" s="29">
        <v>7458</v>
      </c>
      <c r="N435" s="29">
        <v>716</v>
      </c>
      <c r="O435" s="29">
        <f t="shared" si="6"/>
        <v>2025</v>
      </c>
      <c r="P435" s="29"/>
      <c r="Q435" s="29"/>
      <c r="R435" s="29"/>
      <c r="S435" s="29"/>
      <c r="T435" s="29"/>
      <c r="U435" s="29"/>
      <c r="V435" s="32"/>
    </row>
    <row r="436" spans="1:22" x14ac:dyDescent="0.35">
      <c r="A436" s="23">
        <v>45739</v>
      </c>
      <c r="B436" s="23" t="s">
        <v>39</v>
      </c>
      <c r="C436" s="24" t="s">
        <v>13</v>
      </c>
      <c r="D436" s="24" t="s">
        <v>49</v>
      </c>
      <c r="E436" s="24" t="s">
        <v>14</v>
      </c>
      <c r="F436" s="24" t="s">
        <v>44</v>
      </c>
      <c r="G436" s="24" t="s">
        <v>15</v>
      </c>
      <c r="H436" s="24" t="s">
        <v>32</v>
      </c>
      <c r="I436" s="24" t="s">
        <v>16</v>
      </c>
      <c r="J436" s="25">
        <v>25</v>
      </c>
      <c r="K436" s="24">
        <v>65</v>
      </c>
      <c r="L436" s="24">
        <v>1625</v>
      </c>
      <c r="M436" s="24">
        <v>1472</v>
      </c>
      <c r="N436" s="24">
        <v>153</v>
      </c>
      <c r="O436" s="24">
        <f t="shared" si="6"/>
        <v>2025</v>
      </c>
      <c r="P436" s="24"/>
      <c r="Q436" s="24"/>
      <c r="R436" s="24"/>
      <c r="S436" s="24"/>
      <c r="T436" s="24"/>
      <c r="U436" s="24"/>
      <c r="V436" s="27"/>
    </row>
    <row r="437" spans="1:22" x14ac:dyDescent="0.35">
      <c r="A437" s="28">
        <v>45740</v>
      </c>
      <c r="B437" s="28" t="s">
        <v>40</v>
      </c>
      <c r="C437" s="29" t="s">
        <v>17</v>
      </c>
      <c r="D437" s="29" t="s">
        <v>54</v>
      </c>
      <c r="E437" s="29" t="s">
        <v>28</v>
      </c>
      <c r="F437" s="29" t="s">
        <v>45</v>
      </c>
      <c r="G437" s="29" t="s">
        <v>21</v>
      </c>
      <c r="H437" s="29" t="s">
        <v>31</v>
      </c>
      <c r="I437" s="29" t="s">
        <v>12</v>
      </c>
      <c r="J437" s="30">
        <v>149</v>
      </c>
      <c r="K437" s="29">
        <v>37</v>
      </c>
      <c r="L437" s="29">
        <v>5513</v>
      </c>
      <c r="M437" s="29">
        <v>5243</v>
      </c>
      <c r="N437" s="29">
        <v>270</v>
      </c>
      <c r="O437" s="29">
        <f t="shared" si="6"/>
        <v>2025</v>
      </c>
      <c r="P437" s="29"/>
      <c r="Q437" s="29"/>
      <c r="R437" s="29"/>
      <c r="S437" s="29"/>
      <c r="T437" s="29"/>
      <c r="U437" s="29"/>
      <c r="V437" s="32"/>
    </row>
    <row r="438" spans="1:22" x14ac:dyDescent="0.35">
      <c r="A438" s="23">
        <v>45741</v>
      </c>
      <c r="B438" s="23" t="s">
        <v>40</v>
      </c>
      <c r="C438" s="24" t="s">
        <v>17</v>
      </c>
      <c r="D438" s="24" t="s">
        <v>48</v>
      </c>
      <c r="E438" s="24" t="s">
        <v>10</v>
      </c>
      <c r="F438" s="24" t="s">
        <v>43</v>
      </c>
      <c r="G438" s="24" t="s">
        <v>11</v>
      </c>
      <c r="H438" s="24" t="s">
        <v>34</v>
      </c>
      <c r="I438" s="24" t="s">
        <v>22</v>
      </c>
      <c r="J438" s="25">
        <v>41</v>
      </c>
      <c r="K438" s="24">
        <v>30</v>
      </c>
      <c r="L438" s="24">
        <v>1230</v>
      </c>
      <c r="M438" s="24">
        <v>486</v>
      </c>
      <c r="N438" s="24">
        <v>744</v>
      </c>
      <c r="O438" s="24">
        <f t="shared" si="6"/>
        <v>2025</v>
      </c>
      <c r="P438" s="24"/>
      <c r="Q438" s="24"/>
      <c r="R438" s="24"/>
      <c r="S438" s="24"/>
      <c r="T438" s="24"/>
      <c r="U438" s="24"/>
      <c r="V438" s="27"/>
    </row>
    <row r="439" spans="1:22" x14ac:dyDescent="0.35">
      <c r="A439" s="28">
        <v>45742</v>
      </c>
      <c r="B439" s="28" t="s">
        <v>40</v>
      </c>
      <c r="C439" s="29" t="s">
        <v>17</v>
      </c>
      <c r="D439" s="29" t="s">
        <v>48</v>
      </c>
      <c r="E439" s="29" t="s">
        <v>10</v>
      </c>
      <c r="F439" s="29" t="s">
        <v>43</v>
      </c>
      <c r="G439" s="29" t="s">
        <v>11</v>
      </c>
      <c r="H439" s="29" t="s">
        <v>31</v>
      </c>
      <c r="I439" s="29" t="s">
        <v>12</v>
      </c>
      <c r="J439" s="30">
        <v>174</v>
      </c>
      <c r="K439" s="29">
        <v>63</v>
      </c>
      <c r="L439" s="29">
        <v>10962</v>
      </c>
      <c r="M439" s="29">
        <v>10831</v>
      </c>
      <c r="N439" s="29">
        <v>131</v>
      </c>
      <c r="O439" s="29">
        <f t="shared" si="6"/>
        <v>2025</v>
      </c>
      <c r="P439" s="29"/>
      <c r="Q439" s="29"/>
      <c r="R439" s="29"/>
      <c r="S439" s="29"/>
      <c r="T439" s="29"/>
      <c r="U439" s="29"/>
      <c r="V439" s="32"/>
    </row>
    <row r="440" spans="1:22" x14ac:dyDescent="0.35">
      <c r="A440" s="23">
        <v>45743</v>
      </c>
      <c r="B440" s="23" t="s">
        <v>39</v>
      </c>
      <c r="C440" s="24" t="s">
        <v>13</v>
      </c>
      <c r="D440" s="24" t="s">
        <v>50</v>
      </c>
      <c r="E440" s="24" t="s">
        <v>18</v>
      </c>
      <c r="F440" s="24" t="s">
        <v>44</v>
      </c>
      <c r="G440" s="24" t="s">
        <v>15</v>
      </c>
      <c r="H440" s="24" t="s">
        <v>31</v>
      </c>
      <c r="I440" s="24" t="s">
        <v>12</v>
      </c>
      <c r="J440" s="25">
        <v>30</v>
      </c>
      <c r="K440" s="24">
        <v>91</v>
      </c>
      <c r="L440" s="24">
        <v>2730</v>
      </c>
      <c r="M440" s="24">
        <v>2105</v>
      </c>
      <c r="N440" s="24">
        <v>625</v>
      </c>
      <c r="O440" s="24">
        <f t="shared" si="6"/>
        <v>2025</v>
      </c>
      <c r="P440" s="24"/>
      <c r="Q440" s="24"/>
      <c r="R440" s="24"/>
      <c r="S440" s="24"/>
      <c r="T440" s="24"/>
      <c r="U440" s="24"/>
      <c r="V440" s="27"/>
    </row>
    <row r="441" spans="1:22" x14ac:dyDescent="0.35">
      <c r="A441" s="28">
        <v>45744</v>
      </c>
      <c r="B441" s="28" t="s">
        <v>41</v>
      </c>
      <c r="C441" s="29" t="s">
        <v>23</v>
      </c>
      <c r="D441" s="29" t="s">
        <v>49</v>
      </c>
      <c r="E441" s="29" t="s">
        <v>14</v>
      </c>
      <c r="F441" s="29" t="s">
        <v>44</v>
      </c>
      <c r="G441" s="29" t="s">
        <v>15</v>
      </c>
      <c r="H441" s="29" t="s">
        <v>31</v>
      </c>
      <c r="I441" s="29" t="s">
        <v>12</v>
      </c>
      <c r="J441" s="30">
        <v>147</v>
      </c>
      <c r="K441" s="29">
        <v>69</v>
      </c>
      <c r="L441" s="29">
        <v>10143</v>
      </c>
      <c r="M441" s="29">
        <v>9430</v>
      </c>
      <c r="N441" s="29">
        <v>713</v>
      </c>
      <c r="O441" s="29">
        <f t="shared" si="6"/>
        <v>2025</v>
      </c>
      <c r="P441" s="29"/>
      <c r="Q441" s="29"/>
      <c r="R441" s="29"/>
      <c r="S441" s="29"/>
      <c r="T441" s="29"/>
      <c r="U441" s="29"/>
      <c r="V441" s="32"/>
    </row>
    <row r="442" spans="1:22" x14ac:dyDescent="0.35">
      <c r="A442" s="23">
        <v>45745</v>
      </c>
      <c r="B442" s="23" t="s">
        <v>39</v>
      </c>
      <c r="C442" s="24" t="s">
        <v>13</v>
      </c>
      <c r="D442" s="24" t="s">
        <v>53</v>
      </c>
      <c r="E442" s="24" t="s">
        <v>27</v>
      </c>
      <c r="F442" s="24" t="s">
        <v>46</v>
      </c>
      <c r="G442" s="24" t="s">
        <v>26</v>
      </c>
      <c r="H442" s="24" t="s">
        <v>35</v>
      </c>
      <c r="I442" s="24" t="s">
        <v>24</v>
      </c>
      <c r="J442" s="25">
        <v>37</v>
      </c>
      <c r="K442" s="24">
        <v>98</v>
      </c>
      <c r="L442" s="24">
        <v>3626</v>
      </c>
      <c r="M442" s="24">
        <v>3009</v>
      </c>
      <c r="N442" s="24">
        <v>617</v>
      </c>
      <c r="O442" s="24">
        <f t="shared" si="6"/>
        <v>2025</v>
      </c>
      <c r="P442" s="24"/>
      <c r="Q442" s="24"/>
      <c r="R442" s="24"/>
      <c r="S442" s="24"/>
      <c r="T442" s="24"/>
      <c r="U442" s="24"/>
      <c r="V442" s="27"/>
    </row>
    <row r="443" spans="1:22" x14ac:dyDescent="0.35">
      <c r="A443" s="28">
        <v>45746</v>
      </c>
      <c r="B443" s="28" t="s">
        <v>38</v>
      </c>
      <c r="C443" s="29" t="s">
        <v>9</v>
      </c>
      <c r="D443" s="29" t="s">
        <v>49</v>
      </c>
      <c r="E443" s="29" t="s">
        <v>14</v>
      </c>
      <c r="F443" s="29" t="s">
        <v>44</v>
      </c>
      <c r="G443" s="29" t="s">
        <v>15</v>
      </c>
      <c r="H443" s="29" t="s">
        <v>34</v>
      </c>
      <c r="I443" s="29" t="s">
        <v>22</v>
      </c>
      <c r="J443" s="30">
        <v>123</v>
      </c>
      <c r="K443" s="29">
        <v>54</v>
      </c>
      <c r="L443" s="29">
        <v>6642</v>
      </c>
      <c r="M443" s="29">
        <v>5849</v>
      </c>
      <c r="N443" s="29">
        <v>793</v>
      </c>
      <c r="O443" s="29">
        <f t="shared" si="6"/>
        <v>2025</v>
      </c>
      <c r="P443" s="29"/>
      <c r="Q443" s="29"/>
      <c r="R443" s="29"/>
      <c r="S443" s="29"/>
      <c r="T443" s="29"/>
      <c r="U443" s="29"/>
      <c r="V443" s="32"/>
    </row>
    <row r="444" spans="1:22" x14ac:dyDescent="0.35">
      <c r="A444" s="23">
        <v>45747</v>
      </c>
      <c r="B444" s="23" t="s">
        <v>41</v>
      </c>
      <c r="C444" s="24" t="s">
        <v>23</v>
      </c>
      <c r="D444" s="24" t="s">
        <v>55</v>
      </c>
      <c r="E444" s="24" t="s">
        <v>29</v>
      </c>
      <c r="F444" s="24" t="s">
        <v>43</v>
      </c>
      <c r="G444" s="24" t="s">
        <v>11</v>
      </c>
      <c r="H444" s="24" t="s">
        <v>33</v>
      </c>
      <c r="I444" s="24" t="s">
        <v>19</v>
      </c>
      <c r="J444" s="25">
        <v>42</v>
      </c>
      <c r="K444" s="24">
        <v>30</v>
      </c>
      <c r="L444" s="24">
        <v>1260</v>
      </c>
      <c r="M444" s="24">
        <v>498</v>
      </c>
      <c r="N444" s="24">
        <v>762</v>
      </c>
      <c r="O444" s="24">
        <f t="shared" si="6"/>
        <v>2025</v>
      </c>
      <c r="P444" s="24"/>
      <c r="Q444" s="24"/>
      <c r="R444" s="24"/>
      <c r="S444" s="24"/>
      <c r="T444" s="24"/>
      <c r="U444" s="24"/>
      <c r="V444" s="27"/>
    </row>
    <row r="445" spans="1:22" x14ac:dyDescent="0.35">
      <c r="A445" s="28">
        <v>45748</v>
      </c>
      <c r="B445" s="28" t="s">
        <v>40</v>
      </c>
      <c r="C445" s="29" t="s">
        <v>17</v>
      </c>
      <c r="D445" s="29" t="s">
        <v>49</v>
      </c>
      <c r="E445" s="29" t="s">
        <v>14</v>
      </c>
      <c r="F445" s="29" t="s">
        <v>44</v>
      </c>
      <c r="G445" s="29" t="s">
        <v>15</v>
      </c>
      <c r="H445" s="29" t="s">
        <v>32</v>
      </c>
      <c r="I445" s="29" t="s">
        <v>16</v>
      </c>
      <c r="J445" s="30">
        <v>131</v>
      </c>
      <c r="K445" s="29">
        <v>52</v>
      </c>
      <c r="L445" s="29">
        <v>6812</v>
      </c>
      <c r="M445" s="29">
        <v>6233</v>
      </c>
      <c r="N445" s="29">
        <v>579</v>
      </c>
      <c r="O445" s="29">
        <f t="shared" si="6"/>
        <v>2025</v>
      </c>
      <c r="P445" s="29"/>
      <c r="Q445" s="29"/>
      <c r="R445" s="29"/>
      <c r="S445" s="29"/>
      <c r="T445" s="29"/>
      <c r="U445" s="29"/>
      <c r="V445" s="32"/>
    </row>
    <row r="446" spans="1:22" x14ac:dyDescent="0.35">
      <c r="A446" s="23">
        <v>45749</v>
      </c>
      <c r="B446" s="23" t="s">
        <v>40</v>
      </c>
      <c r="C446" s="24" t="s">
        <v>17</v>
      </c>
      <c r="D446" s="24" t="s">
        <v>49</v>
      </c>
      <c r="E446" s="24" t="s">
        <v>14</v>
      </c>
      <c r="F446" s="24" t="s">
        <v>44</v>
      </c>
      <c r="G446" s="24" t="s">
        <v>15</v>
      </c>
      <c r="H446" s="24" t="s">
        <v>32</v>
      </c>
      <c r="I446" s="24" t="s">
        <v>16</v>
      </c>
      <c r="J446" s="25">
        <v>193</v>
      </c>
      <c r="K446" s="24">
        <v>87</v>
      </c>
      <c r="L446" s="24">
        <v>16791</v>
      </c>
      <c r="M446" s="24">
        <v>15924</v>
      </c>
      <c r="N446" s="24">
        <v>867</v>
      </c>
      <c r="O446" s="24">
        <f t="shared" si="6"/>
        <v>2025</v>
      </c>
      <c r="P446" s="24"/>
      <c r="Q446" s="24"/>
      <c r="R446" s="24"/>
      <c r="S446" s="24"/>
      <c r="T446" s="24"/>
      <c r="U446" s="24"/>
      <c r="V446" s="27"/>
    </row>
    <row r="447" spans="1:22" x14ac:dyDescent="0.35">
      <c r="A447" s="28">
        <v>45750</v>
      </c>
      <c r="B447" s="28" t="s">
        <v>40</v>
      </c>
      <c r="C447" s="29" t="s">
        <v>17</v>
      </c>
      <c r="D447" s="29" t="s">
        <v>55</v>
      </c>
      <c r="E447" s="29" t="s">
        <v>29</v>
      </c>
      <c r="F447" s="29" t="s">
        <v>43</v>
      </c>
      <c r="G447" s="29" t="s">
        <v>11</v>
      </c>
      <c r="H447" s="29" t="s">
        <v>32</v>
      </c>
      <c r="I447" s="29" t="s">
        <v>16</v>
      </c>
      <c r="J447" s="30">
        <v>165</v>
      </c>
      <c r="K447" s="29">
        <v>73</v>
      </c>
      <c r="L447" s="29">
        <v>12045</v>
      </c>
      <c r="M447" s="29">
        <v>11382</v>
      </c>
      <c r="N447" s="29">
        <v>663</v>
      </c>
      <c r="O447" s="29">
        <f t="shared" si="6"/>
        <v>2025</v>
      </c>
      <c r="P447" s="29"/>
      <c r="Q447" s="29"/>
      <c r="R447" s="29"/>
      <c r="S447" s="29"/>
      <c r="T447" s="29"/>
      <c r="U447" s="29"/>
      <c r="V447" s="32"/>
    </row>
    <row r="448" spans="1:22" x14ac:dyDescent="0.35">
      <c r="A448" s="23">
        <v>45751</v>
      </c>
      <c r="B448" s="23" t="s">
        <v>40</v>
      </c>
      <c r="C448" s="24" t="s">
        <v>17</v>
      </c>
      <c r="D448" s="24" t="s">
        <v>52</v>
      </c>
      <c r="E448" s="24" t="s">
        <v>25</v>
      </c>
      <c r="F448" s="24" t="s">
        <v>46</v>
      </c>
      <c r="G448" s="24" t="s">
        <v>26</v>
      </c>
      <c r="H448" s="24" t="s">
        <v>32</v>
      </c>
      <c r="I448" s="24" t="s">
        <v>16</v>
      </c>
      <c r="J448" s="25">
        <v>55</v>
      </c>
      <c r="K448" s="24">
        <v>62</v>
      </c>
      <c r="L448" s="24">
        <v>3410</v>
      </c>
      <c r="M448" s="24">
        <v>2919</v>
      </c>
      <c r="N448" s="24">
        <v>491</v>
      </c>
      <c r="O448" s="24">
        <f t="shared" si="6"/>
        <v>2025</v>
      </c>
      <c r="P448" s="24"/>
      <c r="Q448" s="24"/>
      <c r="R448" s="24"/>
      <c r="S448" s="24"/>
      <c r="T448" s="24"/>
      <c r="U448" s="24"/>
      <c r="V448" s="27"/>
    </row>
    <row r="449" spans="1:22" x14ac:dyDescent="0.35">
      <c r="A449" s="28">
        <v>45752</v>
      </c>
      <c r="B449" s="28" t="s">
        <v>38</v>
      </c>
      <c r="C449" s="29" t="s">
        <v>9</v>
      </c>
      <c r="D449" s="29" t="s">
        <v>54</v>
      </c>
      <c r="E449" s="29" t="s">
        <v>28</v>
      </c>
      <c r="F449" s="29" t="s">
        <v>45</v>
      </c>
      <c r="G449" s="29" t="s">
        <v>21</v>
      </c>
      <c r="H449" s="29" t="s">
        <v>34</v>
      </c>
      <c r="I449" s="29" t="s">
        <v>22</v>
      </c>
      <c r="J449" s="30">
        <v>156</v>
      </c>
      <c r="K449" s="29">
        <v>40</v>
      </c>
      <c r="L449" s="29">
        <v>6240</v>
      </c>
      <c r="M449" s="29">
        <v>5830</v>
      </c>
      <c r="N449" s="29">
        <v>410</v>
      </c>
      <c r="O449" s="29">
        <f t="shared" si="6"/>
        <v>2025</v>
      </c>
      <c r="P449" s="29"/>
      <c r="Q449" s="29"/>
      <c r="R449" s="29"/>
      <c r="S449" s="29"/>
      <c r="T449" s="29"/>
      <c r="U449" s="29"/>
      <c r="V449" s="32"/>
    </row>
    <row r="450" spans="1:22" x14ac:dyDescent="0.35">
      <c r="A450" s="23">
        <v>45753</v>
      </c>
      <c r="B450" s="23" t="s">
        <v>39</v>
      </c>
      <c r="C450" s="24" t="s">
        <v>13</v>
      </c>
      <c r="D450" s="24" t="s">
        <v>52</v>
      </c>
      <c r="E450" s="24" t="s">
        <v>25</v>
      </c>
      <c r="F450" s="24" t="s">
        <v>46</v>
      </c>
      <c r="G450" s="24" t="s">
        <v>26</v>
      </c>
      <c r="H450" s="24" t="s">
        <v>32</v>
      </c>
      <c r="I450" s="24" t="s">
        <v>16</v>
      </c>
      <c r="J450" s="25">
        <v>41</v>
      </c>
      <c r="K450" s="24">
        <v>35</v>
      </c>
      <c r="L450" s="24">
        <v>1435</v>
      </c>
      <c r="M450" s="24">
        <v>512</v>
      </c>
      <c r="N450" s="24">
        <v>923</v>
      </c>
      <c r="O450" s="24">
        <f t="shared" si="6"/>
        <v>2025</v>
      </c>
      <c r="P450" s="24"/>
      <c r="Q450" s="24"/>
      <c r="R450" s="24"/>
      <c r="S450" s="24"/>
      <c r="T450" s="24"/>
      <c r="U450" s="24"/>
      <c r="V450" s="27"/>
    </row>
    <row r="451" spans="1:22" x14ac:dyDescent="0.35">
      <c r="A451" s="28">
        <v>45754</v>
      </c>
      <c r="B451" s="28" t="s">
        <v>38</v>
      </c>
      <c r="C451" s="29" t="s">
        <v>9</v>
      </c>
      <c r="D451" s="29" t="s">
        <v>50</v>
      </c>
      <c r="E451" s="29" t="s">
        <v>18</v>
      </c>
      <c r="F451" s="29" t="s">
        <v>44</v>
      </c>
      <c r="G451" s="29" t="s">
        <v>15</v>
      </c>
      <c r="H451" s="29" t="s">
        <v>33</v>
      </c>
      <c r="I451" s="29" t="s">
        <v>19</v>
      </c>
      <c r="J451" s="30">
        <v>36</v>
      </c>
      <c r="K451" s="29">
        <v>88</v>
      </c>
      <c r="L451" s="29">
        <v>3168</v>
      </c>
      <c r="M451" s="29">
        <v>2502</v>
      </c>
      <c r="N451" s="29">
        <v>666</v>
      </c>
      <c r="O451" s="29">
        <f t="shared" ref="O451:O503" si="7">YEAR(A451)</f>
        <v>2025</v>
      </c>
      <c r="P451" s="29"/>
      <c r="Q451" s="29"/>
      <c r="R451" s="29"/>
      <c r="S451" s="29"/>
      <c r="T451" s="29"/>
      <c r="U451" s="29"/>
      <c r="V451" s="32"/>
    </row>
    <row r="452" spans="1:22" x14ac:dyDescent="0.35">
      <c r="A452" s="23">
        <v>45755</v>
      </c>
      <c r="B452" s="23" t="s">
        <v>40</v>
      </c>
      <c r="C452" s="24" t="s">
        <v>17</v>
      </c>
      <c r="D452" s="24" t="s">
        <v>50</v>
      </c>
      <c r="E452" s="24" t="s">
        <v>18</v>
      </c>
      <c r="F452" s="24" t="s">
        <v>44</v>
      </c>
      <c r="G452" s="24" t="s">
        <v>15</v>
      </c>
      <c r="H452" s="24" t="s">
        <v>31</v>
      </c>
      <c r="I452" s="24" t="s">
        <v>12</v>
      </c>
      <c r="J452" s="25">
        <v>27</v>
      </c>
      <c r="K452" s="24">
        <v>56</v>
      </c>
      <c r="L452" s="24">
        <v>1512</v>
      </c>
      <c r="M452" s="24">
        <v>676</v>
      </c>
      <c r="N452" s="24">
        <v>836</v>
      </c>
      <c r="O452" s="24">
        <f t="shared" si="7"/>
        <v>2025</v>
      </c>
      <c r="P452" s="24"/>
      <c r="Q452" s="24"/>
      <c r="R452" s="24"/>
      <c r="S452" s="24"/>
      <c r="T452" s="24"/>
      <c r="U452" s="24"/>
      <c r="V452" s="27"/>
    </row>
    <row r="453" spans="1:22" x14ac:dyDescent="0.35">
      <c r="A453" s="28">
        <v>45756</v>
      </c>
      <c r="B453" s="28" t="s">
        <v>38</v>
      </c>
      <c r="C453" s="29" t="s">
        <v>9</v>
      </c>
      <c r="D453" s="29" t="s">
        <v>51</v>
      </c>
      <c r="E453" s="29" t="s">
        <v>20</v>
      </c>
      <c r="F453" s="29" t="s">
        <v>45</v>
      </c>
      <c r="G453" s="29" t="s">
        <v>21</v>
      </c>
      <c r="H453" s="29" t="s">
        <v>35</v>
      </c>
      <c r="I453" s="29" t="s">
        <v>24</v>
      </c>
      <c r="J453" s="30">
        <v>114</v>
      </c>
      <c r="K453" s="29">
        <v>46</v>
      </c>
      <c r="L453" s="29">
        <v>5244</v>
      </c>
      <c r="M453" s="29">
        <v>4930</v>
      </c>
      <c r="N453" s="29">
        <v>314</v>
      </c>
      <c r="O453" s="29">
        <f t="shared" si="7"/>
        <v>2025</v>
      </c>
      <c r="P453" s="29"/>
      <c r="Q453" s="29"/>
      <c r="R453" s="29"/>
      <c r="S453" s="29"/>
      <c r="T453" s="29"/>
      <c r="U453" s="29"/>
      <c r="V453" s="32"/>
    </row>
    <row r="454" spans="1:22" x14ac:dyDescent="0.35">
      <c r="A454" s="23">
        <v>45757</v>
      </c>
      <c r="B454" s="23" t="s">
        <v>41</v>
      </c>
      <c r="C454" s="24" t="s">
        <v>23</v>
      </c>
      <c r="D454" s="24" t="s">
        <v>55</v>
      </c>
      <c r="E454" s="24" t="s">
        <v>29</v>
      </c>
      <c r="F454" s="24" t="s">
        <v>43</v>
      </c>
      <c r="G454" s="24" t="s">
        <v>11</v>
      </c>
      <c r="H454" s="24" t="s">
        <v>34</v>
      </c>
      <c r="I454" s="24" t="s">
        <v>22</v>
      </c>
      <c r="J454" s="25">
        <v>118</v>
      </c>
      <c r="K454" s="24">
        <v>33</v>
      </c>
      <c r="L454" s="24">
        <v>3894</v>
      </c>
      <c r="M454" s="24">
        <v>3657</v>
      </c>
      <c r="N454" s="24">
        <v>237</v>
      </c>
      <c r="O454" s="24">
        <f t="shared" si="7"/>
        <v>2025</v>
      </c>
      <c r="P454" s="24"/>
      <c r="Q454" s="24"/>
      <c r="R454" s="24"/>
      <c r="S454" s="24"/>
      <c r="T454" s="24"/>
      <c r="U454" s="24"/>
      <c r="V454" s="27"/>
    </row>
    <row r="455" spans="1:22" x14ac:dyDescent="0.35">
      <c r="A455" s="28">
        <v>45758</v>
      </c>
      <c r="B455" s="28" t="s">
        <v>39</v>
      </c>
      <c r="C455" s="29" t="s">
        <v>13</v>
      </c>
      <c r="D455" s="29" t="s">
        <v>55</v>
      </c>
      <c r="E455" s="29" t="s">
        <v>29</v>
      </c>
      <c r="F455" s="29" t="s">
        <v>43</v>
      </c>
      <c r="G455" s="29" t="s">
        <v>11</v>
      </c>
      <c r="H455" s="29" t="s">
        <v>31</v>
      </c>
      <c r="I455" s="29" t="s">
        <v>12</v>
      </c>
      <c r="J455" s="30">
        <v>35</v>
      </c>
      <c r="K455" s="29">
        <v>75</v>
      </c>
      <c r="L455" s="29">
        <v>2625</v>
      </c>
      <c r="M455" s="29">
        <v>2410</v>
      </c>
      <c r="N455" s="29">
        <v>215</v>
      </c>
      <c r="O455" s="29">
        <f t="shared" si="7"/>
        <v>2025</v>
      </c>
      <c r="P455" s="29"/>
      <c r="Q455" s="29"/>
      <c r="R455" s="29"/>
      <c r="S455" s="29"/>
      <c r="T455" s="29"/>
      <c r="U455" s="29"/>
      <c r="V455" s="32"/>
    </row>
    <row r="456" spans="1:22" x14ac:dyDescent="0.35">
      <c r="A456" s="23">
        <v>45759</v>
      </c>
      <c r="B456" s="23" t="s">
        <v>39</v>
      </c>
      <c r="C456" s="24" t="s">
        <v>13</v>
      </c>
      <c r="D456" s="24" t="s">
        <v>54</v>
      </c>
      <c r="E456" s="24" t="s">
        <v>28</v>
      </c>
      <c r="F456" s="24" t="s">
        <v>45</v>
      </c>
      <c r="G456" s="24" t="s">
        <v>21</v>
      </c>
      <c r="H456" s="24" t="s">
        <v>31</v>
      </c>
      <c r="I456" s="24" t="s">
        <v>12</v>
      </c>
      <c r="J456" s="25">
        <v>142</v>
      </c>
      <c r="K456" s="24">
        <v>93</v>
      </c>
      <c r="L456" s="24">
        <v>13206</v>
      </c>
      <c r="M456" s="24">
        <v>12738</v>
      </c>
      <c r="N456" s="24">
        <v>468</v>
      </c>
      <c r="O456" s="24">
        <f t="shared" si="7"/>
        <v>2025</v>
      </c>
      <c r="P456" s="24"/>
      <c r="Q456" s="24"/>
      <c r="R456" s="24"/>
      <c r="S456" s="24"/>
      <c r="T456" s="24"/>
      <c r="U456" s="24"/>
      <c r="V456" s="27"/>
    </row>
    <row r="457" spans="1:22" x14ac:dyDescent="0.35">
      <c r="A457" s="28">
        <v>45760</v>
      </c>
      <c r="B457" s="28" t="s">
        <v>39</v>
      </c>
      <c r="C457" s="29" t="s">
        <v>13</v>
      </c>
      <c r="D457" s="29" t="s">
        <v>55</v>
      </c>
      <c r="E457" s="29" t="s">
        <v>29</v>
      </c>
      <c r="F457" s="29" t="s">
        <v>43</v>
      </c>
      <c r="G457" s="29" t="s">
        <v>11</v>
      </c>
      <c r="H457" s="29" t="s">
        <v>31</v>
      </c>
      <c r="I457" s="29" t="s">
        <v>12</v>
      </c>
      <c r="J457" s="30">
        <v>68</v>
      </c>
      <c r="K457" s="29">
        <v>50</v>
      </c>
      <c r="L457" s="29">
        <v>3400</v>
      </c>
      <c r="M457" s="29">
        <v>2501</v>
      </c>
      <c r="N457" s="29">
        <v>899</v>
      </c>
      <c r="O457" s="29">
        <f t="shared" si="7"/>
        <v>2025</v>
      </c>
      <c r="P457" s="29"/>
      <c r="Q457" s="29"/>
      <c r="R457" s="29"/>
      <c r="S457" s="29"/>
      <c r="T457" s="29"/>
      <c r="U457" s="29"/>
      <c r="V457" s="32"/>
    </row>
    <row r="458" spans="1:22" x14ac:dyDescent="0.35">
      <c r="A458" s="23">
        <v>45761</v>
      </c>
      <c r="B458" s="23" t="s">
        <v>40</v>
      </c>
      <c r="C458" s="24" t="s">
        <v>17</v>
      </c>
      <c r="D458" s="24" t="s">
        <v>51</v>
      </c>
      <c r="E458" s="24" t="s">
        <v>20</v>
      </c>
      <c r="F458" s="24" t="s">
        <v>45</v>
      </c>
      <c r="G458" s="24" t="s">
        <v>21</v>
      </c>
      <c r="H458" s="24" t="s">
        <v>32</v>
      </c>
      <c r="I458" s="24" t="s">
        <v>16</v>
      </c>
      <c r="J458" s="25">
        <v>173</v>
      </c>
      <c r="K458" s="24">
        <v>65</v>
      </c>
      <c r="L458" s="24">
        <v>11245</v>
      </c>
      <c r="M458" s="24">
        <v>11038</v>
      </c>
      <c r="N458" s="24">
        <v>207</v>
      </c>
      <c r="O458" s="24">
        <f t="shared" si="7"/>
        <v>2025</v>
      </c>
      <c r="P458" s="24"/>
      <c r="Q458" s="24"/>
      <c r="R458" s="24"/>
      <c r="S458" s="24"/>
      <c r="T458" s="24"/>
      <c r="U458" s="24"/>
      <c r="V458" s="27"/>
    </row>
    <row r="459" spans="1:22" x14ac:dyDescent="0.35">
      <c r="A459" s="28">
        <v>45762</v>
      </c>
      <c r="B459" s="28" t="s">
        <v>41</v>
      </c>
      <c r="C459" s="29" t="s">
        <v>23</v>
      </c>
      <c r="D459" s="29" t="s">
        <v>55</v>
      </c>
      <c r="E459" s="29" t="s">
        <v>29</v>
      </c>
      <c r="F459" s="29" t="s">
        <v>43</v>
      </c>
      <c r="G459" s="29" t="s">
        <v>11</v>
      </c>
      <c r="H459" s="29" t="s">
        <v>34</v>
      </c>
      <c r="I459" s="29" t="s">
        <v>22</v>
      </c>
      <c r="J459" s="30">
        <v>130</v>
      </c>
      <c r="K459" s="29">
        <v>60</v>
      </c>
      <c r="L459" s="29">
        <v>7800</v>
      </c>
      <c r="M459" s="29">
        <v>7522</v>
      </c>
      <c r="N459" s="29">
        <v>278</v>
      </c>
      <c r="O459" s="29">
        <f t="shared" si="7"/>
        <v>2025</v>
      </c>
      <c r="P459" s="29"/>
      <c r="Q459" s="29"/>
      <c r="R459" s="29"/>
      <c r="S459" s="29"/>
      <c r="T459" s="29"/>
      <c r="U459" s="29"/>
      <c r="V459" s="32"/>
    </row>
    <row r="460" spans="1:22" x14ac:dyDescent="0.35">
      <c r="A460" s="23">
        <v>45763</v>
      </c>
      <c r="B460" s="23" t="s">
        <v>41</v>
      </c>
      <c r="C460" s="24" t="s">
        <v>23</v>
      </c>
      <c r="D460" s="24" t="s">
        <v>55</v>
      </c>
      <c r="E460" s="24" t="s">
        <v>29</v>
      </c>
      <c r="F460" s="24" t="s">
        <v>43</v>
      </c>
      <c r="G460" s="24" t="s">
        <v>11</v>
      </c>
      <c r="H460" s="24" t="s">
        <v>33</v>
      </c>
      <c r="I460" s="24" t="s">
        <v>19</v>
      </c>
      <c r="J460" s="25">
        <v>79</v>
      </c>
      <c r="K460" s="24">
        <v>67</v>
      </c>
      <c r="L460" s="24">
        <v>5293</v>
      </c>
      <c r="M460" s="24">
        <v>4824</v>
      </c>
      <c r="N460" s="24">
        <v>469</v>
      </c>
      <c r="O460" s="24">
        <f t="shared" si="7"/>
        <v>2025</v>
      </c>
      <c r="P460" s="24"/>
      <c r="Q460" s="24"/>
      <c r="R460" s="24"/>
      <c r="S460" s="24"/>
      <c r="T460" s="24"/>
      <c r="U460" s="24"/>
      <c r="V460" s="27"/>
    </row>
    <row r="461" spans="1:22" x14ac:dyDescent="0.35">
      <c r="A461" s="28">
        <v>45764</v>
      </c>
      <c r="B461" s="28" t="s">
        <v>39</v>
      </c>
      <c r="C461" s="29" t="s">
        <v>13</v>
      </c>
      <c r="D461" s="29" t="s">
        <v>51</v>
      </c>
      <c r="E461" s="29" t="s">
        <v>20</v>
      </c>
      <c r="F461" s="29" t="s">
        <v>45</v>
      </c>
      <c r="G461" s="29" t="s">
        <v>21</v>
      </c>
      <c r="H461" s="29" t="s">
        <v>34</v>
      </c>
      <c r="I461" s="29" t="s">
        <v>22</v>
      </c>
      <c r="J461" s="30">
        <v>120</v>
      </c>
      <c r="K461" s="29">
        <v>42</v>
      </c>
      <c r="L461" s="29">
        <v>5040</v>
      </c>
      <c r="M461" s="29">
        <v>4058</v>
      </c>
      <c r="N461" s="29">
        <v>982</v>
      </c>
      <c r="O461" s="29">
        <f t="shared" si="7"/>
        <v>2025</v>
      </c>
      <c r="P461" s="29"/>
      <c r="Q461" s="29"/>
      <c r="R461" s="29"/>
      <c r="S461" s="29"/>
      <c r="T461" s="29"/>
      <c r="U461" s="29"/>
      <c r="V461" s="32"/>
    </row>
    <row r="462" spans="1:22" x14ac:dyDescent="0.35">
      <c r="A462" s="23">
        <v>45765</v>
      </c>
      <c r="B462" s="23" t="s">
        <v>38</v>
      </c>
      <c r="C462" s="24" t="s">
        <v>9</v>
      </c>
      <c r="D462" s="24" t="s">
        <v>55</v>
      </c>
      <c r="E462" s="24" t="s">
        <v>29</v>
      </c>
      <c r="F462" s="24" t="s">
        <v>43</v>
      </c>
      <c r="G462" s="24" t="s">
        <v>11</v>
      </c>
      <c r="H462" s="24" t="s">
        <v>31</v>
      </c>
      <c r="I462" s="24" t="s">
        <v>12</v>
      </c>
      <c r="J462" s="25">
        <v>107</v>
      </c>
      <c r="K462" s="24">
        <v>53</v>
      </c>
      <c r="L462" s="24">
        <v>5671</v>
      </c>
      <c r="M462" s="24">
        <v>5168</v>
      </c>
      <c r="N462" s="24">
        <v>503</v>
      </c>
      <c r="O462" s="24">
        <f t="shared" si="7"/>
        <v>2025</v>
      </c>
      <c r="P462" s="24"/>
      <c r="Q462" s="24"/>
      <c r="R462" s="24"/>
      <c r="S462" s="24"/>
      <c r="T462" s="24"/>
      <c r="U462" s="24"/>
      <c r="V462" s="27"/>
    </row>
    <row r="463" spans="1:22" x14ac:dyDescent="0.35">
      <c r="A463" s="28">
        <v>45766</v>
      </c>
      <c r="B463" s="28" t="s">
        <v>38</v>
      </c>
      <c r="C463" s="29" t="s">
        <v>9</v>
      </c>
      <c r="D463" s="29" t="s">
        <v>49</v>
      </c>
      <c r="E463" s="29" t="s">
        <v>14</v>
      </c>
      <c r="F463" s="29" t="s">
        <v>44</v>
      </c>
      <c r="G463" s="29" t="s">
        <v>15</v>
      </c>
      <c r="H463" s="29" t="s">
        <v>34</v>
      </c>
      <c r="I463" s="29" t="s">
        <v>22</v>
      </c>
      <c r="J463" s="30">
        <v>188</v>
      </c>
      <c r="K463" s="29">
        <v>73</v>
      </c>
      <c r="L463" s="29">
        <v>13724</v>
      </c>
      <c r="M463" s="29">
        <v>13384</v>
      </c>
      <c r="N463" s="29">
        <v>340</v>
      </c>
      <c r="O463" s="29">
        <f t="shared" si="7"/>
        <v>2025</v>
      </c>
      <c r="P463" s="29"/>
      <c r="Q463" s="29"/>
      <c r="R463" s="29"/>
      <c r="S463" s="29"/>
      <c r="T463" s="29"/>
      <c r="U463" s="29"/>
      <c r="V463" s="32"/>
    </row>
    <row r="464" spans="1:22" x14ac:dyDescent="0.35">
      <c r="A464" s="23">
        <v>45767</v>
      </c>
      <c r="B464" s="23" t="s">
        <v>41</v>
      </c>
      <c r="C464" s="24" t="s">
        <v>23</v>
      </c>
      <c r="D464" s="24" t="s">
        <v>48</v>
      </c>
      <c r="E464" s="24" t="s">
        <v>10</v>
      </c>
      <c r="F464" s="24" t="s">
        <v>43</v>
      </c>
      <c r="G464" s="24" t="s">
        <v>11</v>
      </c>
      <c r="H464" s="24" t="s">
        <v>32</v>
      </c>
      <c r="I464" s="24" t="s">
        <v>16</v>
      </c>
      <c r="J464" s="25">
        <v>200</v>
      </c>
      <c r="K464" s="24">
        <v>36</v>
      </c>
      <c r="L464" s="24">
        <v>7200</v>
      </c>
      <c r="M464" s="24">
        <v>6405</v>
      </c>
      <c r="N464" s="24">
        <v>795</v>
      </c>
      <c r="O464" s="24">
        <f t="shared" si="7"/>
        <v>2025</v>
      </c>
      <c r="P464" s="24"/>
      <c r="Q464" s="24"/>
      <c r="R464" s="24"/>
      <c r="S464" s="24"/>
      <c r="T464" s="24"/>
      <c r="U464" s="24"/>
      <c r="V464" s="27"/>
    </row>
    <row r="465" spans="1:22" x14ac:dyDescent="0.35">
      <c r="A465" s="28">
        <v>45768</v>
      </c>
      <c r="B465" s="28" t="s">
        <v>41</v>
      </c>
      <c r="C465" s="29" t="s">
        <v>23</v>
      </c>
      <c r="D465" s="29" t="s">
        <v>48</v>
      </c>
      <c r="E465" s="29" t="s">
        <v>10</v>
      </c>
      <c r="F465" s="29" t="s">
        <v>43</v>
      </c>
      <c r="G465" s="29" t="s">
        <v>11</v>
      </c>
      <c r="H465" s="29" t="s">
        <v>33</v>
      </c>
      <c r="I465" s="29" t="s">
        <v>19</v>
      </c>
      <c r="J465" s="30">
        <v>105</v>
      </c>
      <c r="K465" s="29">
        <v>38</v>
      </c>
      <c r="L465" s="29">
        <v>3990</v>
      </c>
      <c r="M465" s="29">
        <v>3783</v>
      </c>
      <c r="N465" s="29">
        <v>207</v>
      </c>
      <c r="O465" s="29">
        <f t="shared" si="7"/>
        <v>2025</v>
      </c>
      <c r="P465" s="29"/>
      <c r="Q465" s="29"/>
      <c r="R465" s="29"/>
      <c r="S465" s="29"/>
      <c r="T465" s="29"/>
      <c r="U465" s="29"/>
      <c r="V465" s="32"/>
    </row>
    <row r="466" spans="1:22" x14ac:dyDescent="0.35">
      <c r="A466" s="23">
        <v>45769</v>
      </c>
      <c r="B466" s="23" t="s">
        <v>41</v>
      </c>
      <c r="C466" s="24" t="s">
        <v>23</v>
      </c>
      <c r="D466" s="24" t="s">
        <v>49</v>
      </c>
      <c r="E466" s="24" t="s">
        <v>14</v>
      </c>
      <c r="F466" s="24" t="s">
        <v>44</v>
      </c>
      <c r="G466" s="24" t="s">
        <v>15</v>
      </c>
      <c r="H466" s="24" t="s">
        <v>31</v>
      </c>
      <c r="I466" s="24" t="s">
        <v>12</v>
      </c>
      <c r="J466" s="25">
        <v>128</v>
      </c>
      <c r="K466" s="24">
        <v>99</v>
      </c>
      <c r="L466" s="24">
        <v>12672</v>
      </c>
      <c r="M466" s="24">
        <v>12126</v>
      </c>
      <c r="N466" s="24">
        <v>546</v>
      </c>
      <c r="O466" s="24">
        <f t="shared" si="7"/>
        <v>2025</v>
      </c>
      <c r="P466" s="24"/>
      <c r="Q466" s="24"/>
      <c r="R466" s="24"/>
      <c r="S466" s="24"/>
      <c r="T466" s="24"/>
      <c r="U466" s="24"/>
      <c r="V466" s="27"/>
    </row>
    <row r="467" spans="1:22" x14ac:dyDescent="0.35">
      <c r="A467" s="28">
        <v>45770</v>
      </c>
      <c r="B467" s="28" t="s">
        <v>40</v>
      </c>
      <c r="C467" s="29" t="s">
        <v>17</v>
      </c>
      <c r="D467" s="29" t="s">
        <v>50</v>
      </c>
      <c r="E467" s="29" t="s">
        <v>18</v>
      </c>
      <c r="F467" s="29" t="s">
        <v>44</v>
      </c>
      <c r="G467" s="29" t="s">
        <v>15</v>
      </c>
      <c r="H467" s="29" t="s">
        <v>32</v>
      </c>
      <c r="I467" s="29" t="s">
        <v>16</v>
      </c>
      <c r="J467" s="30">
        <v>59</v>
      </c>
      <c r="K467" s="29">
        <v>95</v>
      </c>
      <c r="L467" s="29">
        <v>5605</v>
      </c>
      <c r="M467" s="29">
        <v>5407</v>
      </c>
      <c r="N467" s="29">
        <v>198</v>
      </c>
      <c r="O467" s="29">
        <f t="shared" si="7"/>
        <v>2025</v>
      </c>
      <c r="P467" s="29"/>
      <c r="Q467" s="29"/>
      <c r="R467" s="29"/>
      <c r="S467" s="29"/>
      <c r="T467" s="29"/>
      <c r="U467" s="29"/>
      <c r="V467" s="32"/>
    </row>
    <row r="468" spans="1:22" x14ac:dyDescent="0.35">
      <c r="A468" s="23">
        <v>45771</v>
      </c>
      <c r="B468" s="23" t="s">
        <v>40</v>
      </c>
      <c r="C468" s="24" t="s">
        <v>17</v>
      </c>
      <c r="D468" s="24" t="s">
        <v>52</v>
      </c>
      <c r="E468" s="24" t="s">
        <v>25</v>
      </c>
      <c r="F468" s="24" t="s">
        <v>46</v>
      </c>
      <c r="G468" s="24" t="s">
        <v>26</v>
      </c>
      <c r="H468" s="24" t="s">
        <v>34</v>
      </c>
      <c r="I468" s="24" t="s">
        <v>22</v>
      </c>
      <c r="J468" s="25">
        <v>88</v>
      </c>
      <c r="K468" s="24">
        <v>42</v>
      </c>
      <c r="L468" s="24">
        <v>3696</v>
      </c>
      <c r="M468" s="24">
        <v>2756</v>
      </c>
      <c r="N468" s="24">
        <v>940</v>
      </c>
      <c r="O468" s="24">
        <f t="shared" si="7"/>
        <v>2025</v>
      </c>
      <c r="P468" s="24"/>
      <c r="Q468" s="24"/>
      <c r="R468" s="24"/>
      <c r="S468" s="24"/>
      <c r="T468" s="24"/>
      <c r="U468" s="24"/>
      <c r="V468" s="27"/>
    </row>
    <row r="469" spans="1:22" x14ac:dyDescent="0.35">
      <c r="A469" s="28">
        <v>45772</v>
      </c>
      <c r="B469" s="28" t="s">
        <v>39</v>
      </c>
      <c r="C469" s="29" t="s">
        <v>13</v>
      </c>
      <c r="D469" s="29" t="s">
        <v>51</v>
      </c>
      <c r="E469" s="29" t="s">
        <v>20</v>
      </c>
      <c r="F469" s="29" t="s">
        <v>45</v>
      </c>
      <c r="G469" s="29" t="s">
        <v>21</v>
      </c>
      <c r="H469" s="29" t="s">
        <v>34</v>
      </c>
      <c r="I469" s="29" t="s">
        <v>22</v>
      </c>
      <c r="J469" s="30">
        <v>50</v>
      </c>
      <c r="K469" s="29">
        <v>60</v>
      </c>
      <c r="L469" s="29">
        <v>3000</v>
      </c>
      <c r="M469" s="29">
        <v>2848</v>
      </c>
      <c r="N469" s="29">
        <v>152</v>
      </c>
      <c r="O469" s="29">
        <f t="shared" si="7"/>
        <v>2025</v>
      </c>
      <c r="P469" s="29"/>
      <c r="Q469" s="29"/>
      <c r="R469" s="29"/>
      <c r="S469" s="29"/>
      <c r="T469" s="29"/>
      <c r="U469" s="29"/>
      <c r="V469" s="32"/>
    </row>
    <row r="470" spans="1:22" x14ac:dyDescent="0.35">
      <c r="A470" s="23">
        <v>45773</v>
      </c>
      <c r="B470" s="23" t="s">
        <v>38</v>
      </c>
      <c r="C470" s="24" t="s">
        <v>9</v>
      </c>
      <c r="D470" s="24" t="s">
        <v>49</v>
      </c>
      <c r="E470" s="24" t="s">
        <v>14</v>
      </c>
      <c r="F470" s="24" t="s">
        <v>44</v>
      </c>
      <c r="G470" s="24" t="s">
        <v>15</v>
      </c>
      <c r="H470" s="24" t="s">
        <v>35</v>
      </c>
      <c r="I470" s="24" t="s">
        <v>24</v>
      </c>
      <c r="J470" s="25">
        <v>75</v>
      </c>
      <c r="K470" s="24">
        <v>69</v>
      </c>
      <c r="L470" s="24">
        <v>5175</v>
      </c>
      <c r="M470" s="24">
        <v>4718</v>
      </c>
      <c r="N470" s="24">
        <v>457</v>
      </c>
      <c r="O470" s="24">
        <f t="shared" si="7"/>
        <v>2025</v>
      </c>
      <c r="P470" s="24"/>
      <c r="Q470" s="24"/>
      <c r="R470" s="24"/>
      <c r="S470" s="24"/>
      <c r="T470" s="24"/>
      <c r="U470" s="24"/>
      <c r="V470" s="27"/>
    </row>
    <row r="471" spans="1:22" x14ac:dyDescent="0.35">
      <c r="A471" s="28">
        <v>45774</v>
      </c>
      <c r="B471" s="28" t="s">
        <v>40</v>
      </c>
      <c r="C471" s="29" t="s">
        <v>17</v>
      </c>
      <c r="D471" s="29" t="s">
        <v>53</v>
      </c>
      <c r="E471" s="29" t="s">
        <v>27</v>
      </c>
      <c r="F471" s="29" t="s">
        <v>46</v>
      </c>
      <c r="G471" s="29" t="s">
        <v>26</v>
      </c>
      <c r="H471" s="29" t="s">
        <v>31</v>
      </c>
      <c r="I471" s="29" t="s">
        <v>12</v>
      </c>
      <c r="J471" s="30">
        <v>64</v>
      </c>
      <c r="K471" s="29">
        <v>74</v>
      </c>
      <c r="L471" s="29">
        <v>4736</v>
      </c>
      <c r="M471" s="29">
        <v>3972</v>
      </c>
      <c r="N471" s="29">
        <v>764</v>
      </c>
      <c r="O471" s="29">
        <f t="shared" si="7"/>
        <v>2025</v>
      </c>
      <c r="P471" s="29"/>
      <c r="Q471" s="29"/>
      <c r="R471" s="29"/>
      <c r="S471" s="29"/>
      <c r="T471" s="29"/>
      <c r="U471" s="29"/>
      <c r="V471" s="32"/>
    </row>
    <row r="472" spans="1:22" x14ac:dyDescent="0.35">
      <c r="A472" s="23">
        <v>45775</v>
      </c>
      <c r="B472" s="23" t="s">
        <v>40</v>
      </c>
      <c r="C472" s="24" t="s">
        <v>17</v>
      </c>
      <c r="D472" s="24" t="s">
        <v>51</v>
      </c>
      <c r="E472" s="24" t="s">
        <v>20</v>
      </c>
      <c r="F472" s="24" t="s">
        <v>45</v>
      </c>
      <c r="G472" s="24" t="s">
        <v>21</v>
      </c>
      <c r="H472" s="24" t="s">
        <v>35</v>
      </c>
      <c r="I472" s="24" t="s">
        <v>24</v>
      </c>
      <c r="J472" s="25">
        <v>191</v>
      </c>
      <c r="K472" s="24">
        <v>61</v>
      </c>
      <c r="L472" s="24">
        <v>11651</v>
      </c>
      <c r="M472" s="24">
        <v>11017</v>
      </c>
      <c r="N472" s="24">
        <v>634</v>
      </c>
      <c r="O472" s="24">
        <f t="shared" si="7"/>
        <v>2025</v>
      </c>
      <c r="P472" s="24"/>
      <c r="Q472" s="24"/>
      <c r="R472" s="24"/>
      <c r="S472" s="24"/>
      <c r="T472" s="24"/>
      <c r="U472" s="24"/>
      <c r="V472" s="27"/>
    </row>
    <row r="473" spans="1:22" x14ac:dyDescent="0.35">
      <c r="A473" s="28">
        <v>45776</v>
      </c>
      <c r="B473" s="28" t="s">
        <v>38</v>
      </c>
      <c r="C473" s="29" t="s">
        <v>9</v>
      </c>
      <c r="D473" s="29" t="s">
        <v>49</v>
      </c>
      <c r="E473" s="29" t="s">
        <v>14</v>
      </c>
      <c r="F473" s="29" t="s">
        <v>44</v>
      </c>
      <c r="G473" s="29" t="s">
        <v>15</v>
      </c>
      <c r="H473" s="29" t="s">
        <v>35</v>
      </c>
      <c r="I473" s="29" t="s">
        <v>24</v>
      </c>
      <c r="J473" s="30">
        <v>174</v>
      </c>
      <c r="K473" s="29">
        <v>66</v>
      </c>
      <c r="L473" s="29">
        <v>11484</v>
      </c>
      <c r="M473" s="29">
        <v>11266</v>
      </c>
      <c r="N473" s="29">
        <v>218</v>
      </c>
      <c r="O473" s="29">
        <f t="shared" si="7"/>
        <v>2025</v>
      </c>
      <c r="P473" s="29"/>
      <c r="Q473" s="29"/>
      <c r="R473" s="29"/>
      <c r="S473" s="29"/>
      <c r="T473" s="29"/>
      <c r="U473" s="29"/>
      <c r="V473" s="32"/>
    </row>
    <row r="474" spans="1:22" x14ac:dyDescent="0.35">
      <c r="A474" s="23">
        <v>45777</v>
      </c>
      <c r="B474" s="23" t="s">
        <v>40</v>
      </c>
      <c r="C474" s="24" t="s">
        <v>17</v>
      </c>
      <c r="D474" s="24" t="s">
        <v>54</v>
      </c>
      <c r="E474" s="24" t="s">
        <v>28</v>
      </c>
      <c r="F474" s="24" t="s">
        <v>45</v>
      </c>
      <c r="G474" s="24" t="s">
        <v>21</v>
      </c>
      <c r="H474" s="24" t="s">
        <v>34</v>
      </c>
      <c r="I474" s="24" t="s">
        <v>22</v>
      </c>
      <c r="J474" s="25">
        <v>28</v>
      </c>
      <c r="K474" s="24">
        <v>44</v>
      </c>
      <c r="L474" s="24">
        <v>1232</v>
      </c>
      <c r="M474" s="24">
        <v>968</v>
      </c>
      <c r="N474" s="24">
        <v>264</v>
      </c>
      <c r="O474" s="24">
        <f t="shared" si="7"/>
        <v>2025</v>
      </c>
      <c r="P474" s="24"/>
      <c r="Q474" s="24"/>
      <c r="R474" s="24"/>
      <c r="S474" s="24"/>
      <c r="T474" s="24"/>
      <c r="U474" s="24"/>
      <c r="V474" s="27"/>
    </row>
    <row r="475" spans="1:22" x14ac:dyDescent="0.35">
      <c r="A475" s="28">
        <v>45778</v>
      </c>
      <c r="B475" s="28" t="s">
        <v>41</v>
      </c>
      <c r="C475" s="29" t="s">
        <v>23</v>
      </c>
      <c r="D475" s="29" t="s">
        <v>50</v>
      </c>
      <c r="E475" s="29" t="s">
        <v>18</v>
      </c>
      <c r="F475" s="29" t="s">
        <v>44</v>
      </c>
      <c r="G475" s="29" t="s">
        <v>15</v>
      </c>
      <c r="H475" s="29" t="s">
        <v>32</v>
      </c>
      <c r="I475" s="29" t="s">
        <v>16</v>
      </c>
      <c r="J475" s="30">
        <v>127</v>
      </c>
      <c r="K475" s="29">
        <v>99</v>
      </c>
      <c r="L475" s="29">
        <v>12573</v>
      </c>
      <c r="M475" s="29">
        <v>11754</v>
      </c>
      <c r="N475" s="29">
        <v>819</v>
      </c>
      <c r="O475" s="29">
        <f t="shared" si="7"/>
        <v>2025</v>
      </c>
      <c r="P475" s="29"/>
      <c r="Q475" s="29"/>
      <c r="R475" s="29"/>
      <c r="S475" s="29"/>
      <c r="T475" s="29"/>
      <c r="U475" s="29"/>
      <c r="V475" s="32"/>
    </row>
    <row r="476" spans="1:22" x14ac:dyDescent="0.35">
      <c r="A476" s="23">
        <v>45779</v>
      </c>
      <c r="B476" s="23" t="s">
        <v>40</v>
      </c>
      <c r="C476" s="24" t="s">
        <v>17</v>
      </c>
      <c r="D476" s="24" t="s">
        <v>55</v>
      </c>
      <c r="E476" s="24" t="s">
        <v>29</v>
      </c>
      <c r="F476" s="24" t="s">
        <v>43</v>
      </c>
      <c r="G476" s="24" t="s">
        <v>11</v>
      </c>
      <c r="H476" s="24" t="s">
        <v>32</v>
      </c>
      <c r="I476" s="24" t="s">
        <v>16</v>
      </c>
      <c r="J476" s="25">
        <v>98</v>
      </c>
      <c r="K476" s="24">
        <v>94</v>
      </c>
      <c r="L476" s="24">
        <v>9212</v>
      </c>
      <c r="M476" s="24">
        <v>8898</v>
      </c>
      <c r="N476" s="24">
        <v>314</v>
      </c>
      <c r="O476" s="24">
        <f t="shared" si="7"/>
        <v>2025</v>
      </c>
      <c r="P476" s="24"/>
      <c r="Q476" s="24"/>
      <c r="R476" s="24"/>
      <c r="S476" s="24"/>
      <c r="T476" s="24"/>
      <c r="U476" s="24"/>
      <c r="V476" s="27"/>
    </row>
    <row r="477" spans="1:22" x14ac:dyDescent="0.35">
      <c r="A477" s="28">
        <v>45780</v>
      </c>
      <c r="B477" s="28" t="s">
        <v>41</v>
      </c>
      <c r="C477" s="29" t="s">
        <v>23</v>
      </c>
      <c r="D477" s="29" t="s">
        <v>50</v>
      </c>
      <c r="E477" s="29" t="s">
        <v>18</v>
      </c>
      <c r="F477" s="29" t="s">
        <v>44</v>
      </c>
      <c r="G477" s="29" t="s">
        <v>15</v>
      </c>
      <c r="H477" s="29" t="s">
        <v>31</v>
      </c>
      <c r="I477" s="29" t="s">
        <v>12</v>
      </c>
      <c r="J477" s="30">
        <v>139</v>
      </c>
      <c r="K477" s="29">
        <v>97</v>
      </c>
      <c r="L477" s="29">
        <v>13483</v>
      </c>
      <c r="M477" s="29">
        <v>12705</v>
      </c>
      <c r="N477" s="29">
        <v>778</v>
      </c>
      <c r="O477" s="29">
        <f t="shared" si="7"/>
        <v>2025</v>
      </c>
      <c r="P477" s="29"/>
      <c r="Q477" s="29"/>
      <c r="R477" s="29"/>
      <c r="S477" s="29"/>
      <c r="T477" s="29"/>
      <c r="U477" s="29"/>
      <c r="V477" s="32"/>
    </row>
    <row r="478" spans="1:22" x14ac:dyDescent="0.35">
      <c r="A478" s="23">
        <v>45781</v>
      </c>
      <c r="B478" s="23" t="s">
        <v>40</v>
      </c>
      <c r="C478" s="24" t="s">
        <v>17</v>
      </c>
      <c r="D478" s="24" t="s">
        <v>48</v>
      </c>
      <c r="E478" s="24" t="s">
        <v>10</v>
      </c>
      <c r="F478" s="24" t="s">
        <v>43</v>
      </c>
      <c r="G478" s="24" t="s">
        <v>11</v>
      </c>
      <c r="H478" s="24" t="s">
        <v>34</v>
      </c>
      <c r="I478" s="24" t="s">
        <v>22</v>
      </c>
      <c r="J478" s="25">
        <v>75</v>
      </c>
      <c r="K478" s="24">
        <v>95</v>
      </c>
      <c r="L478" s="24">
        <v>7125</v>
      </c>
      <c r="M478" s="24">
        <v>6407</v>
      </c>
      <c r="N478" s="24">
        <v>718</v>
      </c>
      <c r="O478" s="24">
        <f t="shared" si="7"/>
        <v>2025</v>
      </c>
      <c r="P478" s="24"/>
      <c r="Q478" s="24"/>
      <c r="R478" s="24"/>
      <c r="S478" s="24"/>
      <c r="T478" s="24"/>
      <c r="U478" s="24"/>
      <c r="V478" s="27"/>
    </row>
    <row r="479" spans="1:22" x14ac:dyDescent="0.35">
      <c r="A479" s="28">
        <v>45782</v>
      </c>
      <c r="B479" s="28" t="s">
        <v>41</v>
      </c>
      <c r="C479" s="29" t="s">
        <v>23</v>
      </c>
      <c r="D479" s="29" t="s">
        <v>49</v>
      </c>
      <c r="E479" s="29" t="s">
        <v>14</v>
      </c>
      <c r="F479" s="29" t="s">
        <v>44</v>
      </c>
      <c r="G479" s="29" t="s">
        <v>15</v>
      </c>
      <c r="H479" s="29" t="s">
        <v>33</v>
      </c>
      <c r="I479" s="29" t="s">
        <v>19</v>
      </c>
      <c r="J479" s="30">
        <v>118</v>
      </c>
      <c r="K479" s="29">
        <v>75</v>
      </c>
      <c r="L479" s="29">
        <v>8850</v>
      </c>
      <c r="M479" s="29">
        <v>8698</v>
      </c>
      <c r="N479" s="29">
        <v>152</v>
      </c>
      <c r="O479" s="29">
        <f t="shared" si="7"/>
        <v>2025</v>
      </c>
      <c r="P479" s="29"/>
      <c r="Q479" s="29"/>
      <c r="R479" s="29"/>
      <c r="S479" s="29"/>
      <c r="T479" s="29"/>
      <c r="U479" s="29"/>
      <c r="V479" s="32"/>
    </row>
    <row r="480" spans="1:22" x14ac:dyDescent="0.35">
      <c r="A480" s="23">
        <v>45783</v>
      </c>
      <c r="B480" s="23" t="s">
        <v>39</v>
      </c>
      <c r="C480" s="24" t="s">
        <v>13</v>
      </c>
      <c r="D480" s="24" t="s">
        <v>52</v>
      </c>
      <c r="E480" s="24" t="s">
        <v>25</v>
      </c>
      <c r="F480" s="24" t="s">
        <v>46</v>
      </c>
      <c r="G480" s="24" t="s">
        <v>26</v>
      </c>
      <c r="H480" s="24" t="s">
        <v>34</v>
      </c>
      <c r="I480" s="24" t="s">
        <v>22</v>
      </c>
      <c r="J480" s="25">
        <v>36</v>
      </c>
      <c r="K480" s="24">
        <v>41</v>
      </c>
      <c r="L480" s="24">
        <v>1476</v>
      </c>
      <c r="M480" s="24">
        <v>862</v>
      </c>
      <c r="N480" s="24">
        <v>614</v>
      </c>
      <c r="O480" s="24">
        <f t="shared" si="7"/>
        <v>2025</v>
      </c>
      <c r="P480" s="24"/>
      <c r="Q480" s="24"/>
      <c r="R480" s="24"/>
      <c r="S480" s="24"/>
      <c r="T480" s="24"/>
      <c r="U480" s="24"/>
      <c r="V480" s="27"/>
    </row>
    <row r="481" spans="1:22" x14ac:dyDescent="0.35">
      <c r="A481" s="28">
        <v>45784</v>
      </c>
      <c r="B481" s="28" t="s">
        <v>40</v>
      </c>
      <c r="C481" s="29" t="s">
        <v>17</v>
      </c>
      <c r="D481" s="29" t="s">
        <v>50</v>
      </c>
      <c r="E481" s="29" t="s">
        <v>18</v>
      </c>
      <c r="F481" s="29" t="s">
        <v>44</v>
      </c>
      <c r="G481" s="29" t="s">
        <v>15</v>
      </c>
      <c r="H481" s="29" t="s">
        <v>34</v>
      </c>
      <c r="I481" s="29" t="s">
        <v>22</v>
      </c>
      <c r="J481" s="30">
        <v>147</v>
      </c>
      <c r="K481" s="29">
        <v>59</v>
      </c>
      <c r="L481" s="29">
        <v>8673</v>
      </c>
      <c r="M481" s="29">
        <v>7743</v>
      </c>
      <c r="N481" s="29">
        <v>930</v>
      </c>
      <c r="O481" s="29">
        <f t="shared" si="7"/>
        <v>2025</v>
      </c>
      <c r="P481" s="29"/>
      <c r="Q481" s="29"/>
      <c r="R481" s="29"/>
      <c r="S481" s="29"/>
      <c r="T481" s="29"/>
      <c r="U481" s="29"/>
      <c r="V481" s="32"/>
    </row>
    <row r="482" spans="1:22" x14ac:dyDescent="0.35">
      <c r="A482" s="23">
        <v>45785</v>
      </c>
      <c r="B482" s="23" t="s">
        <v>38</v>
      </c>
      <c r="C482" s="24" t="s">
        <v>9</v>
      </c>
      <c r="D482" s="24" t="s">
        <v>50</v>
      </c>
      <c r="E482" s="24" t="s">
        <v>18</v>
      </c>
      <c r="F482" s="24" t="s">
        <v>44</v>
      </c>
      <c r="G482" s="24" t="s">
        <v>15</v>
      </c>
      <c r="H482" s="24" t="s">
        <v>35</v>
      </c>
      <c r="I482" s="24" t="s">
        <v>24</v>
      </c>
      <c r="J482" s="25">
        <v>115</v>
      </c>
      <c r="K482" s="24">
        <v>83</v>
      </c>
      <c r="L482" s="24">
        <v>9545</v>
      </c>
      <c r="M482" s="24">
        <v>9105</v>
      </c>
      <c r="N482" s="24">
        <v>440</v>
      </c>
      <c r="O482" s="24">
        <f t="shared" si="7"/>
        <v>2025</v>
      </c>
      <c r="P482" s="24"/>
      <c r="Q482" s="24"/>
      <c r="R482" s="24"/>
      <c r="S482" s="24"/>
      <c r="T482" s="24"/>
      <c r="U482" s="24"/>
      <c r="V482" s="27"/>
    </row>
    <row r="483" spans="1:22" x14ac:dyDescent="0.35">
      <c r="A483" s="28">
        <v>45786</v>
      </c>
      <c r="B483" s="28" t="s">
        <v>41</v>
      </c>
      <c r="C483" s="29" t="s">
        <v>23</v>
      </c>
      <c r="D483" s="29" t="s">
        <v>51</v>
      </c>
      <c r="E483" s="29" t="s">
        <v>20</v>
      </c>
      <c r="F483" s="29" t="s">
        <v>45</v>
      </c>
      <c r="G483" s="29" t="s">
        <v>21</v>
      </c>
      <c r="H483" s="29" t="s">
        <v>34</v>
      </c>
      <c r="I483" s="29" t="s">
        <v>22</v>
      </c>
      <c r="J483" s="30">
        <v>107</v>
      </c>
      <c r="K483" s="29">
        <v>31</v>
      </c>
      <c r="L483" s="29">
        <v>3317</v>
      </c>
      <c r="M483" s="29">
        <v>2947</v>
      </c>
      <c r="N483" s="29">
        <v>370</v>
      </c>
      <c r="O483" s="29">
        <f t="shared" si="7"/>
        <v>2025</v>
      </c>
      <c r="P483" s="29"/>
      <c r="Q483" s="29"/>
      <c r="R483" s="29"/>
      <c r="S483" s="29"/>
      <c r="T483" s="29"/>
      <c r="U483" s="29"/>
      <c r="V483" s="32"/>
    </row>
    <row r="484" spans="1:22" x14ac:dyDescent="0.35">
      <c r="A484" s="23">
        <v>45787</v>
      </c>
      <c r="B484" s="23" t="s">
        <v>41</v>
      </c>
      <c r="C484" s="24" t="s">
        <v>23</v>
      </c>
      <c r="D484" s="24" t="s">
        <v>51</v>
      </c>
      <c r="E484" s="24" t="s">
        <v>20</v>
      </c>
      <c r="F484" s="24" t="s">
        <v>45</v>
      </c>
      <c r="G484" s="24" t="s">
        <v>21</v>
      </c>
      <c r="H484" s="24" t="s">
        <v>32</v>
      </c>
      <c r="I484" s="24" t="s">
        <v>16</v>
      </c>
      <c r="J484" s="25">
        <v>62</v>
      </c>
      <c r="K484" s="24">
        <v>99</v>
      </c>
      <c r="L484" s="24">
        <v>6138</v>
      </c>
      <c r="M484" s="24">
        <v>5256</v>
      </c>
      <c r="N484" s="24">
        <v>882</v>
      </c>
      <c r="O484" s="24">
        <f t="shared" si="7"/>
        <v>2025</v>
      </c>
      <c r="P484" s="24"/>
      <c r="Q484" s="24"/>
      <c r="R484" s="24"/>
      <c r="S484" s="24"/>
      <c r="T484" s="24"/>
      <c r="U484" s="24"/>
      <c r="V484" s="27"/>
    </row>
    <row r="485" spans="1:22" x14ac:dyDescent="0.35">
      <c r="A485" s="28">
        <v>45788</v>
      </c>
      <c r="B485" s="28" t="s">
        <v>41</v>
      </c>
      <c r="C485" s="29" t="s">
        <v>23</v>
      </c>
      <c r="D485" s="29" t="s">
        <v>53</v>
      </c>
      <c r="E485" s="29" t="s">
        <v>27</v>
      </c>
      <c r="F485" s="29" t="s">
        <v>46</v>
      </c>
      <c r="G485" s="29" t="s">
        <v>26</v>
      </c>
      <c r="H485" s="29" t="s">
        <v>32</v>
      </c>
      <c r="I485" s="29" t="s">
        <v>16</v>
      </c>
      <c r="J485" s="30">
        <v>109</v>
      </c>
      <c r="K485" s="29">
        <v>47</v>
      </c>
      <c r="L485" s="29">
        <v>5123</v>
      </c>
      <c r="M485" s="29">
        <v>4514</v>
      </c>
      <c r="N485" s="29">
        <v>609</v>
      </c>
      <c r="O485" s="29">
        <f t="shared" si="7"/>
        <v>2025</v>
      </c>
      <c r="P485" s="29"/>
      <c r="Q485" s="29"/>
      <c r="R485" s="29"/>
      <c r="S485" s="29"/>
      <c r="T485" s="29"/>
      <c r="U485" s="29"/>
      <c r="V485" s="32"/>
    </row>
    <row r="486" spans="1:22" x14ac:dyDescent="0.35">
      <c r="A486" s="23">
        <v>45789</v>
      </c>
      <c r="B486" s="23" t="s">
        <v>41</v>
      </c>
      <c r="C486" s="24" t="s">
        <v>23</v>
      </c>
      <c r="D486" s="24" t="s">
        <v>53</v>
      </c>
      <c r="E486" s="24" t="s">
        <v>27</v>
      </c>
      <c r="F486" s="24" t="s">
        <v>46</v>
      </c>
      <c r="G486" s="24" t="s">
        <v>26</v>
      </c>
      <c r="H486" s="24" t="s">
        <v>35</v>
      </c>
      <c r="I486" s="24" t="s">
        <v>24</v>
      </c>
      <c r="J486" s="25">
        <v>114</v>
      </c>
      <c r="K486" s="24">
        <v>93</v>
      </c>
      <c r="L486" s="24">
        <v>10602</v>
      </c>
      <c r="M486" s="24">
        <v>9903</v>
      </c>
      <c r="N486" s="24">
        <v>699</v>
      </c>
      <c r="O486" s="24">
        <f t="shared" si="7"/>
        <v>2025</v>
      </c>
      <c r="P486" s="24"/>
      <c r="Q486" s="24"/>
      <c r="R486" s="24"/>
      <c r="S486" s="24"/>
      <c r="T486" s="24"/>
      <c r="U486" s="24"/>
      <c r="V486" s="27"/>
    </row>
    <row r="487" spans="1:22" x14ac:dyDescent="0.35">
      <c r="A487" s="28">
        <v>45790</v>
      </c>
      <c r="B487" s="28" t="s">
        <v>39</v>
      </c>
      <c r="C487" s="29" t="s">
        <v>13</v>
      </c>
      <c r="D487" s="29" t="s">
        <v>50</v>
      </c>
      <c r="E487" s="29" t="s">
        <v>18</v>
      </c>
      <c r="F487" s="29" t="s">
        <v>44</v>
      </c>
      <c r="G487" s="29" t="s">
        <v>15</v>
      </c>
      <c r="H487" s="29" t="s">
        <v>35</v>
      </c>
      <c r="I487" s="29" t="s">
        <v>24</v>
      </c>
      <c r="J487" s="30">
        <v>106</v>
      </c>
      <c r="K487" s="29">
        <v>64</v>
      </c>
      <c r="L487" s="29">
        <v>6784</v>
      </c>
      <c r="M487" s="29">
        <v>6497</v>
      </c>
      <c r="N487" s="29">
        <v>287</v>
      </c>
      <c r="O487" s="29">
        <f t="shared" si="7"/>
        <v>2025</v>
      </c>
      <c r="P487" s="29"/>
      <c r="Q487" s="29"/>
      <c r="R487" s="29"/>
      <c r="S487" s="29"/>
      <c r="T487" s="29"/>
      <c r="U487" s="29"/>
      <c r="V487" s="32"/>
    </row>
    <row r="488" spans="1:22" x14ac:dyDescent="0.35">
      <c r="A488" s="23">
        <v>45791</v>
      </c>
      <c r="B488" s="23" t="s">
        <v>40</v>
      </c>
      <c r="C488" s="24" t="s">
        <v>17</v>
      </c>
      <c r="D488" s="24" t="s">
        <v>55</v>
      </c>
      <c r="E488" s="24" t="s">
        <v>29</v>
      </c>
      <c r="F488" s="24" t="s">
        <v>43</v>
      </c>
      <c r="G488" s="24" t="s">
        <v>11</v>
      </c>
      <c r="H488" s="24" t="s">
        <v>33</v>
      </c>
      <c r="I488" s="24" t="s">
        <v>19</v>
      </c>
      <c r="J488" s="25">
        <v>183</v>
      </c>
      <c r="K488" s="24">
        <v>31</v>
      </c>
      <c r="L488" s="24">
        <v>5673</v>
      </c>
      <c r="M488" s="24">
        <v>5490</v>
      </c>
      <c r="N488" s="24">
        <v>183</v>
      </c>
      <c r="O488" s="24">
        <f t="shared" si="7"/>
        <v>2025</v>
      </c>
      <c r="P488" s="24"/>
      <c r="Q488" s="24"/>
      <c r="R488" s="24"/>
      <c r="S488" s="24"/>
      <c r="T488" s="24"/>
      <c r="U488" s="24"/>
      <c r="V488" s="27"/>
    </row>
    <row r="489" spans="1:22" x14ac:dyDescent="0.35">
      <c r="A489" s="28">
        <v>45792</v>
      </c>
      <c r="B489" s="28" t="s">
        <v>39</v>
      </c>
      <c r="C489" s="29" t="s">
        <v>13</v>
      </c>
      <c r="D489" s="29" t="s">
        <v>55</v>
      </c>
      <c r="E489" s="29" t="s">
        <v>29</v>
      </c>
      <c r="F489" s="29" t="s">
        <v>43</v>
      </c>
      <c r="G489" s="29" t="s">
        <v>11</v>
      </c>
      <c r="H489" s="29" t="s">
        <v>31</v>
      </c>
      <c r="I489" s="29" t="s">
        <v>12</v>
      </c>
      <c r="J489" s="30">
        <v>109</v>
      </c>
      <c r="K489" s="29">
        <v>73</v>
      </c>
      <c r="L489" s="29">
        <v>7957</v>
      </c>
      <c r="M489" s="29">
        <v>7073</v>
      </c>
      <c r="N489" s="29">
        <v>884</v>
      </c>
      <c r="O489" s="29">
        <f t="shared" si="7"/>
        <v>2025</v>
      </c>
      <c r="P489" s="29"/>
      <c r="Q489" s="29"/>
      <c r="R489" s="29"/>
      <c r="S489" s="29"/>
      <c r="T489" s="29"/>
      <c r="U489" s="29"/>
      <c r="V489" s="32"/>
    </row>
    <row r="490" spans="1:22" x14ac:dyDescent="0.35">
      <c r="A490" s="23">
        <v>45793</v>
      </c>
      <c r="B490" s="23" t="s">
        <v>39</v>
      </c>
      <c r="C490" s="24" t="s">
        <v>13</v>
      </c>
      <c r="D490" s="24" t="s">
        <v>50</v>
      </c>
      <c r="E490" s="24" t="s">
        <v>18</v>
      </c>
      <c r="F490" s="24" t="s">
        <v>44</v>
      </c>
      <c r="G490" s="24" t="s">
        <v>15</v>
      </c>
      <c r="H490" s="24" t="s">
        <v>31</v>
      </c>
      <c r="I490" s="24" t="s">
        <v>12</v>
      </c>
      <c r="J490" s="25">
        <v>138</v>
      </c>
      <c r="K490" s="24">
        <v>44</v>
      </c>
      <c r="L490" s="24">
        <v>6072</v>
      </c>
      <c r="M490" s="24">
        <v>5318</v>
      </c>
      <c r="N490" s="24">
        <v>754</v>
      </c>
      <c r="O490" s="24">
        <f t="shared" si="7"/>
        <v>2025</v>
      </c>
      <c r="P490" s="24"/>
      <c r="Q490" s="24"/>
      <c r="R490" s="24"/>
      <c r="S490" s="24"/>
      <c r="T490" s="24"/>
      <c r="U490" s="24"/>
      <c r="V490" s="27"/>
    </row>
    <row r="491" spans="1:22" x14ac:dyDescent="0.35">
      <c r="A491" s="28">
        <v>45794</v>
      </c>
      <c r="B491" s="28" t="s">
        <v>39</v>
      </c>
      <c r="C491" s="29" t="s">
        <v>13</v>
      </c>
      <c r="D491" s="29" t="s">
        <v>55</v>
      </c>
      <c r="E491" s="29" t="s">
        <v>29</v>
      </c>
      <c r="F491" s="29" t="s">
        <v>43</v>
      </c>
      <c r="G491" s="29" t="s">
        <v>11</v>
      </c>
      <c r="H491" s="29" t="s">
        <v>35</v>
      </c>
      <c r="I491" s="29" t="s">
        <v>24</v>
      </c>
      <c r="J491" s="30">
        <v>143</v>
      </c>
      <c r="K491" s="29">
        <v>96</v>
      </c>
      <c r="L491" s="29">
        <v>13728</v>
      </c>
      <c r="M491" s="29">
        <v>13464</v>
      </c>
      <c r="N491" s="29">
        <v>264</v>
      </c>
      <c r="O491" s="29">
        <f t="shared" si="7"/>
        <v>2025</v>
      </c>
      <c r="P491" s="29"/>
      <c r="Q491" s="29"/>
      <c r="R491" s="29"/>
      <c r="S491" s="29"/>
      <c r="T491" s="29"/>
      <c r="U491" s="29"/>
      <c r="V491" s="32"/>
    </row>
    <row r="492" spans="1:22" x14ac:dyDescent="0.35">
      <c r="A492" s="23">
        <v>45795</v>
      </c>
      <c r="B492" s="23" t="s">
        <v>39</v>
      </c>
      <c r="C492" s="24" t="s">
        <v>13</v>
      </c>
      <c r="D492" s="24" t="s">
        <v>54</v>
      </c>
      <c r="E492" s="24" t="s">
        <v>28</v>
      </c>
      <c r="F492" s="24" t="s">
        <v>45</v>
      </c>
      <c r="G492" s="24" t="s">
        <v>21</v>
      </c>
      <c r="H492" s="24" t="s">
        <v>31</v>
      </c>
      <c r="I492" s="24" t="s">
        <v>12</v>
      </c>
      <c r="J492" s="25">
        <v>27</v>
      </c>
      <c r="K492" s="24">
        <v>58</v>
      </c>
      <c r="L492" s="24">
        <v>1566</v>
      </c>
      <c r="M492" s="24">
        <v>1169</v>
      </c>
      <c r="N492" s="24">
        <v>397</v>
      </c>
      <c r="O492" s="24">
        <f t="shared" si="7"/>
        <v>2025</v>
      </c>
      <c r="P492" s="24"/>
      <c r="Q492" s="24"/>
      <c r="R492" s="24"/>
      <c r="S492" s="24"/>
      <c r="T492" s="24"/>
      <c r="U492" s="24"/>
      <c r="V492" s="27"/>
    </row>
    <row r="493" spans="1:22" x14ac:dyDescent="0.35">
      <c r="A493" s="28">
        <v>45796</v>
      </c>
      <c r="B493" s="28" t="s">
        <v>40</v>
      </c>
      <c r="C493" s="29" t="s">
        <v>17</v>
      </c>
      <c r="D493" s="29" t="s">
        <v>52</v>
      </c>
      <c r="E493" s="29" t="s">
        <v>25</v>
      </c>
      <c r="F493" s="29" t="s">
        <v>46</v>
      </c>
      <c r="G493" s="29" t="s">
        <v>26</v>
      </c>
      <c r="H493" s="29" t="s">
        <v>35</v>
      </c>
      <c r="I493" s="29" t="s">
        <v>24</v>
      </c>
      <c r="J493" s="30">
        <v>175</v>
      </c>
      <c r="K493" s="29">
        <v>70</v>
      </c>
      <c r="L493" s="29">
        <v>12250</v>
      </c>
      <c r="M493" s="29">
        <v>12029</v>
      </c>
      <c r="N493" s="29">
        <v>221</v>
      </c>
      <c r="O493" s="29">
        <f t="shared" si="7"/>
        <v>2025</v>
      </c>
      <c r="P493" s="29"/>
      <c r="Q493" s="29"/>
      <c r="R493" s="29"/>
      <c r="S493" s="29"/>
      <c r="T493" s="29"/>
      <c r="U493" s="29"/>
      <c r="V493" s="32"/>
    </row>
    <row r="494" spans="1:22" x14ac:dyDescent="0.35">
      <c r="A494" s="23">
        <v>45797</v>
      </c>
      <c r="B494" s="23" t="s">
        <v>39</v>
      </c>
      <c r="C494" s="24" t="s">
        <v>13</v>
      </c>
      <c r="D494" s="24" t="s">
        <v>54</v>
      </c>
      <c r="E494" s="24" t="s">
        <v>28</v>
      </c>
      <c r="F494" s="24" t="s">
        <v>45</v>
      </c>
      <c r="G494" s="24" t="s">
        <v>21</v>
      </c>
      <c r="H494" s="24" t="s">
        <v>31</v>
      </c>
      <c r="I494" s="24" t="s">
        <v>12</v>
      </c>
      <c r="J494" s="25">
        <v>70</v>
      </c>
      <c r="K494" s="24">
        <v>75</v>
      </c>
      <c r="L494" s="24">
        <v>5250</v>
      </c>
      <c r="M494" s="24">
        <v>4547</v>
      </c>
      <c r="N494" s="24">
        <v>703</v>
      </c>
      <c r="O494" s="24">
        <f t="shared" si="7"/>
        <v>2025</v>
      </c>
      <c r="P494" s="24"/>
      <c r="Q494" s="24"/>
      <c r="R494" s="24"/>
      <c r="S494" s="24"/>
      <c r="T494" s="24"/>
      <c r="U494" s="24"/>
      <c r="V494" s="27"/>
    </row>
    <row r="495" spans="1:22" x14ac:dyDescent="0.35">
      <c r="A495" s="28">
        <v>45798</v>
      </c>
      <c r="B495" s="28" t="s">
        <v>38</v>
      </c>
      <c r="C495" s="29" t="s">
        <v>9</v>
      </c>
      <c r="D495" s="29" t="s">
        <v>49</v>
      </c>
      <c r="E495" s="29" t="s">
        <v>14</v>
      </c>
      <c r="F495" s="29" t="s">
        <v>44</v>
      </c>
      <c r="G495" s="29" t="s">
        <v>15</v>
      </c>
      <c r="H495" s="29" t="s">
        <v>35</v>
      </c>
      <c r="I495" s="29" t="s">
        <v>24</v>
      </c>
      <c r="J495" s="30">
        <v>157</v>
      </c>
      <c r="K495" s="29">
        <v>88</v>
      </c>
      <c r="L495" s="29">
        <v>13816</v>
      </c>
      <c r="M495" s="29">
        <v>13185</v>
      </c>
      <c r="N495" s="29">
        <v>631</v>
      </c>
      <c r="O495" s="29">
        <f t="shared" si="7"/>
        <v>2025</v>
      </c>
      <c r="P495" s="29"/>
      <c r="Q495" s="29"/>
      <c r="R495" s="29"/>
      <c r="S495" s="29"/>
      <c r="T495" s="29"/>
      <c r="U495" s="29"/>
      <c r="V495" s="32"/>
    </row>
    <row r="496" spans="1:22" x14ac:dyDescent="0.35">
      <c r="A496" s="23">
        <v>45799</v>
      </c>
      <c r="B496" s="23" t="s">
        <v>38</v>
      </c>
      <c r="C496" s="24" t="s">
        <v>9</v>
      </c>
      <c r="D496" s="24" t="s">
        <v>51</v>
      </c>
      <c r="E496" s="24" t="s">
        <v>20</v>
      </c>
      <c r="F496" s="24" t="s">
        <v>45</v>
      </c>
      <c r="G496" s="24" t="s">
        <v>21</v>
      </c>
      <c r="H496" s="24" t="s">
        <v>35</v>
      </c>
      <c r="I496" s="24" t="s">
        <v>24</v>
      </c>
      <c r="J496" s="25">
        <v>159</v>
      </c>
      <c r="K496" s="24">
        <v>55</v>
      </c>
      <c r="L496" s="24">
        <v>8745</v>
      </c>
      <c r="M496" s="24">
        <v>7982</v>
      </c>
      <c r="N496" s="24">
        <v>763</v>
      </c>
      <c r="O496" s="24">
        <f t="shared" si="7"/>
        <v>2025</v>
      </c>
      <c r="P496" s="24"/>
      <c r="Q496" s="24"/>
      <c r="R496" s="24"/>
      <c r="S496" s="24"/>
      <c r="T496" s="24"/>
      <c r="U496" s="24"/>
      <c r="V496" s="27"/>
    </row>
    <row r="497" spans="1:22" x14ac:dyDescent="0.35">
      <c r="A497" s="28">
        <v>45800</v>
      </c>
      <c r="B497" s="28" t="s">
        <v>38</v>
      </c>
      <c r="C497" s="29" t="s">
        <v>9</v>
      </c>
      <c r="D497" s="29" t="s">
        <v>50</v>
      </c>
      <c r="E497" s="29" t="s">
        <v>18</v>
      </c>
      <c r="F497" s="29" t="s">
        <v>44</v>
      </c>
      <c r="G497" s="29" t="s">
        <v>15</v>
      </c>
      <c r="H497" s="29" t="s">
        <v>31</v>
      </c>
      <c r="I497" s="29" t="s">
        <v>12</v>
      </c>
      <c r="J497" s="30">
        <v>133</v>
      </c>
      <c r="K497" s="29">
        <v>81</v>
      </c>
      <c r="L497" s="29">
        <v>10773</v>
      </c>
      <c r="M497" s="29">
        <v>10100</v>
      </c>
      <c r="N497" s="29">
        <v>673</v>
      </c>
      <c r="O497" s="29">
        <f t="shared" si="7"/>
        <v>2025</v>
      </c>
      <c r="P497" s="29"/>
      <c r="Q497" s="29"/>
      <c r="R497" s="29"/>
      <c r="S497" s="29"/>
      <c r="T497" s="29"/>
      <c r="U497" s="29"/>
      <c r="V497" s="32"/>
    </row>
    <row r="498" spans="1:22" x14ac:dyDescent="0.35">
      <c r="A498" s="23">
        <v>45801</v>
      </c>
      <c r="B498" s="23" t="s">
        <v>40</v>
      </c>
      <c r="C498" s="24" t="s">
        <v>17</v>
      </c>
      <c r="D498" s="24" t="s">
        <v>52</v>
      </c>
      <c r="E498" s="24" t="s">
        <v>25</v>
      </c>
      <c r="F498" s="24" t="s">
        <v>46</v>
      </c>
      <c r="G498" s="24" t="s">
        <v>26</v>
      </c>
      <c r="H498" s="24" t="s">
        <v>35</v>
      </c>
      <c r="I498" s="24" t="s">
        <v>24</v>
      </c>
      <c r="J498" s="25">
        <v>143</v>
      </c>
      <c r="K498" s="24">
        <v>99</v>
      </c>
      <c r="L498" s="24">
        <v>14157</v>
      </c>
      <c r="M498" s="24">
        <v>13541</v>
      </c>
      <c r="N498" s="24">
        <v>616</v>
      </c>
      <c r="O498" s="24">
        <f t="shared" si="7"/>
        <v>2025</v>
      </c>
      <c r="P498" s="24"/>
      <c r="Q498" s="24"/>
      <c r="R498" s="24"/>
      <c r="S498" s="24"/>
      <c r="T498" s="24"/>
      <c r="U498" s="24"/>
      <c r="V498" s="27"/>
    </row>
    <row r="499" spans="1:22" x14ac:dyDescent="0.35">
      <c r="A499" s="28">
        <v>45802</v>
      </c>
      <c r="B499" s="28" t="s">
        <v>38</v>
      </c>
      <c r="C499" s="29" t="s">
        <v>9</v>
      </c>
      <c r="D499" s="29" t="s">
        <v>53</v>
      </c>
      <c r="E499" s="29" t="s">
        <v>27</v>
      </c>
      <c r="F499" s="29" t="s">
        <v>46</v>
      </c>
      <c r="G499" s="29" t="s">
        <v>26</v>
      </c>
      <c r="H499" s="29" t="s">
        <v>31</v>
      </c>
      <c r="I499" s="29" t="s">
        <v>12</v>
      </c>
      <c r="J499" s="30">
        <v>163</v>
      </c>
      <c r="K499" s="29">
        <v>45</v>
      </c>
      <c r="L499" s="29">
        <v>7335</v>
      </c>
      <c r="M499" s="29">
        <v>6923</v>
      </c>
      <c r="N499" s="29">
        <v>412</v>
      </c>
      <c r="O499" s="29">
        <f t="shared" si="7"/>
        <v>2025</v>
      </c>
      <c r="P499" s="29"/>
      <c r="Q499" s="29"/>
      <c r="R499" s="29"/>
      <c r="S499" s="29"/>
      <c r="T499" s="29"/>
      <c r="U499" s="29"/>
      <c r="V499" s="32"/>
    </row>
    <row r="500" spans="1:22" x14ac:dyDescent="0.35">
      <c r="A500" s="23">
        <v>45803</v>
      </c>
      <c r="B500" s="23" t="s">
        <v>38</v>
      </c>
      <c r="C500" s="24" t="s">
        <v>9</v>
      </c>
      <c r="D500" s="24" t="s">
        <v>48</v>
      </c>
      <c r="E500" s="24" t="s">
        <v>10</v>
      </c>
      <c r="F500" s="24" t="s">
        <v>43</v>
      </c>
      <c r="G500" s="24" t="s">
        <v>11</v>
      </c>
      <c r="H500" s="24" t="s">
        <v>32</v>
      </c>
      <c r="I500" s="24" t="s">
        <v>16</v>
      </c>
      <c r="J500" s="25">
        <v>114</v>
      </c>
      <c r="K500" s="24">
        <v>90</v>
      </c>
      <c r="L500" s="24">
        <v>10260</v>
      </c>
      <c r="M500" s="24">
        <v>10082</v>
      </c>
      <c r="N500" s="24">
        <v>178</v>
      </c>
      <c r="O500" s="24">
        <f t="shared" si="7"/>
        <v>2025</v>
      </c>
      <c r="P500" s="24"/>
      <c r="Q500" s="24"/>
      <c r="R500" s="24"/>
      <c r="S500" s="24"/>
      <c r="T500" s="24"/>
      <c r="U500" s="24"/>
      <c r="V500" s="27"/>
    </row>
    <row r="501" spans="1:22" x14ac:dyDescent="0.35">
      <c r="A501" s="28">
        <v>45804</v>
      </c>
      <c r="B501" s="28" t="s">
        <v>41</v>
      </c>
      <c r="C501" s="29" t="s">
        <v>23</v>
      </c>
      <c r="D501" s="29" t="s">
        <v>53</v>
      </c>
      <c r="E501" s="29" t="s">
        <v>27</v>
      </c>
      <c r="F501" s="29" t="s">
        <v>46</v>
      </c>
      <c r="G501" s="29" t="s">
        <v>26</v>
      </c>
      <c r="H501" s="29" t="s">
        <v>32</v>
      </c>
      <c r="I501" s="29" t="s">
        <v>16</v>
      </c>
      <c r="J501" s="30">
        <v>197</v>
      </c>
      <c r="K501" s="29">
        <v>47</v>
      </c>
      <c r="L501" s="29">
        <v>9259</v>
      </c>
      <c r="M501" s="29">
        <v>8736</v>
      </c>
      <c r="N501" s="29">
        <v>523</v>
      </c>
      <c r="O501" s="29">
        <f t="shared" si="7"/>
        <v>2025</v>
      </c>
      <c r="P501" s="29"/>
      <c r="Q501" s="29"/>
      <c r="R501" s="29"/>
      <c r="S501" s="29"/>
      <c r="T501" s="29"/>
      <c r="U501" s="29"/>
      <c r="V501" s="32"/>
    </row>
    <row r="502" spans="1:22" x14ac:dyDescent="0.35">
      <c r="A502" s="23">
        <v>45805</v>
      </c>
      <c r="B502" s="23" t="s">
        <v>40</v>
      </c>
      <c r="C502" s="24" t="s">
        <v>17</v>
      </c>
      <c r="D502" s="24" t="s">
        <v>51</v>
      </c>
      <c r="E502" s="24" t="s">
        <v>20</v>
      </c>
      <c r="F502" s="24" t="s">
        <v>45</v>
      </c>
      <c r="G502" s="24" t="s">
        <v>21</v>
      </c>
      <c r="H502" s="24" t="s">
        <v>34</v>
      </c>
      <c r="I502" s="24" t="s">
        <v>22</v>
      </c>
      <c r="J502" s="25">
        <v>75</v>
      </c>
      <c r="K502" s="24">
        <v>39</v>
      </c>
      <c r="L502" s="24">
        <v>2925</v>
      </c>
      <c r="M502" s="24">
        <v>2596</v>
      </c>
      <c r="N502" s="24">
        <v>329</v>
      </c>
      <c r="O502" s="24">
        <f t="shared" si="7"/>
        <v>2025</v>
      </c>
      <c r="P502" s="24"/>
      <c r="Q502" s="24"/>
      <c r="R502" s="24"/>
      <c r="S502" s="24"/>
      <c r="T502" s="24"/>
      <c r="U502" s="24"/>
      <c r="V502" s="27"/>
    </row>
    <row r="503" spans="1:22" x14ac:dyDescent="0.35">
      <c r="A503" s="28">
        <v>45806</v>
      </c>
      <c r="B503" s="28" t="s">
        <v>39</v>
      </c>
      <c r="C503" s="29" t="s">
        <v>13</v>
      </c>
      <c r="D503" s="29" t="s">
        <v>51</v>
      </c>
      <c r="E503" s="29" t="s">
        <v>20</v>
      </c>
      <c r="F503" s="29" t="s">
        <v>45</v>
      </c>
      <c r="G503" s="29" t="s">
        <v>21</v>
      </c>
      <c r="H503" s="29" t="s">
        <v>34</v>
      </c>
      <c r="I503" s="29" t="s">
        <v>22</v>
      </c>
      <c r="J503" s="30">
        <v>125</v>
      </c>
      <c r="K503" s="29">
        <v>80</v>
      </c>
      <c r="L503" s="29">
        <v>10000</v>
      </c>
      <c r="M503" s="29">
        <v>9442</v>
      </c>
      <c r="N503" s="29">
        <v>558</v>
      </c>
      <c r="O503" s="29">
        <f t="shared" si="7"/>
        <v>2025</v>
      </c>
      <c r="P503" s="29"/>
      <c r="Q503" s="29"/>
      <c r="R503" s="29"/>
      <c r="S503" s="29"/>
      <c r="T503" s="29"/>
      <c r="U503" s="29"/>
      <c r="V503" s="32"/>
    </row>
    <row r="504" spans="1:22" x14ac:dyDescent="0.35">
      <c r="A504" s="41"/>
      <c r="B504" s="42"/>
      <c r="C504" s="42"/>
      <c r="D504" s="42"/>
      <c r="E504" s="42"/>
      <c r="F504" s="42"/>
      <c r="G504" s="42"/>
      <c r="H504" s="42"/>
      <c r="I504" s="42"/>
      <c r="J504" s="43">
        <f>SUM(J2:J503)</f>
        <v>55987</v>
      </c>
      <c r="K504" s="44">
        <f>AVERAGE(K2:K503)</f>
        <v>65.055776892430274</v>
      </c>
      <c r="L504" s="45">
        <f>_xlfn.AGGREGATE(9,4,L2:L503)</f>
        <v>3613765</v>
      </c>
      <c r="M504" s="42"/>
      <c r="N504" s="46">
        <f>SUM(N2:N503)</f>
        <v>272872</v>
      </c>
      <c r="O504" s="42"/>
      <c r="P504" s="42"/>
      <c r="Q504" s="42"/>
      <c r="R504" s="42"/>
      <c r="S504" s="42"/>
      <c r="T504" s="42"/>
      <c r="U504" s="42"/>
      <c r="V504" s="22"/>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03194B-BA6F-439C-BE9F-165FC31F4DC6}">
  <dimension ref="A2:Q56"/>
  <sheetViews>
    <sheetView topLeftCell="B25" zoomScale="80" zoomScaleNormal="80" workbookViewId="0">
      <selection activeCell="K50" sqref="K50"/>
    </sheetView>
  </sheetViews>
  <sheetFormatPr defaultRowHeight="14.5" x14ac:dyDescent="0.35"/>
  <cols>
    <col min="1" max="1" width="9.54296875" bestFit="1" customWidth="1"/>
    <col min="2" max="2" width="14.26953125" bestFit="1" customWidth="1"/>
    <col min="3" max="3" width="14" bestFit="1" customWidth="1"/>
    <col min="4" max="4" width="9.54296875" bestFit="1" customWidth="1"/>
    <col min="5" max="5" width="14.26953125" bestFit="1" customWidth="1"/>
    <col min="6" max="6" width="13.08984375" bestFit="1" customWidth="1"/>
    <col min="7" max="7" width="7.6328125" bestFit="1" customWidth="1"/>
    <col min="8" max="8" width="12.7265625" bestFit="1" customWidth="1"/>
    <col min="9" max="9" width="9.08984375" bestFit="1" customWidth="1"/>
    <col min="10" max="10" width="7.6328125" bestFit="1" customWidth="1"/>
    <col min="11" max="11" width="9.54296875" bestFit="1" customWidth="1"/>
    <col min="12" max="12" width="12.90625" bestFit="1" customWidth="1"/>
    <col min="13" max="13" width="10.6328125" bestFit="1" customWidth="1"/>
    <col min="14" max="14" width="13.1796875" bestFit="1" customWidth="1"/>
    <col min="15" max="16" width="15.36328125" bestFit="1" customWidth="1"/>
    <col min="17" max="20" width="15" customWidth="1"/>
    <col min="21" max="346" width="4.81640625" bestFit="1" customWidth="1"/>
    <col min="347" max="469" width="5.81640625" bestFit="1" customWidth="1"/>
    <col min="470" max="470" width="10.36328125" bestFit="1" customWidth="1"/>
    <col min="471" max="474" width="9.26953125" bestFit="1" customWidth="1"/>
    <col min="475" max="483" width="8.26953125" bestFit="1" customWidth="1"/>
    <col min="484" max="503" width="9.26953125" bestFit="1" customWidth="1"/>
    <col min="504" max="504" width="10.36328125" bestFit="1" customWidth="1"/>
  </cols>
  <sheetData>
    <row r="2" spans="1:14" x14ac:dyDescent="0.35">
      <c r="A2" t="s">
        <v>70</v>
      </c>
    </row>
    <row r="3" spans="1:14" x14ac:dyDescent="0.35">
      <c r="A3" s="5" t="s">
        <v>69</v>
      </c>
      <c r="B3" t="s">
        <v>81</v>
      </c>
      <c r="D3" t="s">
        <v>74</v>
      </c>
      <c r="G3" s="6" t="s">
        <v>72</v>
      </c>
      <c r="K3" s="47" t="s">
        <v>95</v>
      </c>
      <c r="L3" s="47"/>
      <c r="M3" s="47"/>
      <c r="N3" s="47"/>
    </row>
    <row r="4" spans="1:14" x14ac:dyDescent="0.35">
      <c r="A4" s="6" t="s">
        <v>57</v>
      </c>
      <c r="B4" s="10">
        <v>344620</v>
      </c>
      <c r="D4" s="5" t="s">
        <v>69</v>
      </c>
      <c r="E4" t="s">
        <v>82</v>
      </c>
      <c r="G4" s="5" t="s">
        <v>86</v>
      </c>
      <c r="H4" t="s">
        <v>87</v>
      </c>
      <c r="I4" t="s">
        <v>90</v>
      </c>
      <c r="K4" s="5" t="s">
        <v>89</v>
      </c>
      <c r="L4" t="s">
        <v>91</v>
      </c>
      <c r="M4" t="s">
        <v>92</v>
      </c>
      <c r="N4" t="s">
        <v>78</v>
      </c>
    </row>
    <row r="5" spans="1:14" x14ac:dyDescent="0.35">
      <c r="A5" s="6" t="s">
        <v>58</v>
      </c>
      <c r="B5" s="10">
        <v>427535</v>
      </c>
      <c r="D5" s="6" t="s">
        <v>15</v>
      </c>
      <c r="E5" s="11">
        <v>1008080</v>
      </c>
      <c r="G5" s="6" t="s">
        <v>31</v>
      </c>
      <c r="H5" s="10">
        <v>882447</v>
      </c>
      <c r="I5" s="9">
        <v>13712</v>
      </c>
      <c r="K5" s="6" t="s">
        <v>14</v>
      </c>
      <c r="L5" s="9">
        <v>7076</v>
      </c>
      <c r="M5" s="12">
        <v>31855</v>
      </c>
      <c r="N5" s="12">
        <v>455841</v>
      </c>
    </row>
    <row r="6" spans="1:14" x14ac:dyDescent="0.35">
      <c r="A6" s="6" t="s">
        <v>59</v>
      </c>
      <c r="B6" s="10">
        <v>436806</v>
      </c>
      <c r="D6" s="6" t="s">
        <v>21</v>
      </c>
      <c r="E6" s="11">
        <v>913319</v>
      </c>
      <c r="G6" s="6" t="s">
        <v>32</v>
      </c>
      <c r="H6" s="10">
        <v>757817</v>
      </c>
      <c r="I6" s="9">
        <v>11683</v>
      </c>
      <c r="K6" s="6" t="s">
        <v>10</v>
      </c>
      <c r="L6" s="9">
        <v>6419</v>
      </c>
      <c r="M6" s="12">
        <v>29117</v>
      </c>
      <c r="N6" s="12">
        <v>408883</v>
      </c>
    </row>
    <row r="7" spans="1:14" x14ac:dyDescent="0.35">
      <c r="A7" s="6" t="s">
        <v>60</v>
      </c>
      <c r="B7" s="10">
        <v>382127</v>
      </c>
      <c r="D7" s="6" t="s">
        <v>11</v>
      </c>
      <c r="E7" s="11">
        <v>896484</v>
      </c>
      <c r="G7" s="6" t="s">
        <v>33</v>
      </c>
      <c r="H7" s="10">
        <v>620995</v>
      </c>
      <c r="I7" s="9">
        <v>10230</v>
      </c>
      <c r="K7" s="6" t="s">
        <v>29</v>
      </c>
      <c r="L7" s="9">
        <v>7873</v>
      </c>
      <c r="M7" s="12">
        <v>37392</v>
      </c>
      <c r="N7" s="12">
        <v>487601</v>
      </c>
    </row>
    <row r="8" spans="1:14" x14ac:dyDescent="0.35">
      <c r="A8" s="6" t="s">
        <v>61</v>
      </c>
      <c r="B8" s="10">
        <v>514282</v>
      </c>
      <c r="D8" s="6" t="s">
        <v>26</v>
      </c>
      <c r="E8" s="11">
        <v>795882</v>
      </c>
      <c r="G8" s="6" t="s">
        <v>34</v>
      </c>
      <c r="H8" s="10">
        <v>651908</v>
      </c>
      <c r="I8" s="9">
        <v>10462</v>
      </c>
      <c r="K8" s="6" t="s">
        <v>18</v>
      </c>
      <c r="L8" s="9">
        <v>8276</v>
      </c>
      <c r="M8" s="12">
        <v>40332</v>
      </c>
      <c r="N8" s="12">
        <v>552239</v>
      </c>
    </row>
    <row r="9" spans="1:14" x14ac:dyDescent="0.35">
      <c r="A9" s="6" t="s">
        <v>62</v>
      </c>
      <c r="B9" s="10">
        <v>209973</v>
      </c>
      <c r="G9" s="6" t="s">
        <v>35</v>
      </c>
      <c r="H9" s="10">
        <v>700598</v>
      </c>
      <c r="I9" s="9">
        <v>9900</v>
      </c>
      <c r="K9" s="6" t="s">
        <v>20</v>
      </c>
      <c r="L9" s="9">
        <v>8221</v>
      </c>
      <c r="M9" s="12">
        <v>41721</v>
      </c>
      <c r="N9" s="12">
        <v>501628</v>
      </c>
    </row>
    <row r="10" spans="1:14" x14ac:dyDescent="0.35">
      <c r="A10" s="6" t="s">
        <v>63</v>
      </c>
      <c r="B10" s="10">
        <v>203434</v>
      </c>
      <c r="D10" t="s">
        <v>93</v>
      </c>
      <c r="K10" s="6" t="s">
        <v>25</v>
      </c>
      <c r="L10" s="9">
        <v>5039</v>
      </c>
      <c r="M10" s="12">
        <v>27115</v>
      </c>
      <c r="N10" s="12">
        <v>315670</v>
      </c>
    </row>
    <row r="11" spans="1:14" x14ac:dyDescent="0.35">
      <c r="A11" s="6" t="s">
        <v>64</v>
      </c>
      <c r="B11" s="10">
        <v>212044</v>
      </c>
      <c r="D11" s="5" t="s">
        <v>1</v>
      </c>
      <c r="E11" t="s">
        <v>80</v>
      </c>
      <c r="G11" s="47" t="s">
        <v>94</v>
      </c>
      <c r="H11" s="47"/>
      <c r="I11" s="47"/>
      <c r="K11" s="6" t="s">
        <v>27</v>
      </c>
      <c r="L11" s="9">
        <v>7046</v>
      </c>
      <c r="M11" s="12">
        <v>37751</v>
      </c>
      <c r="N11" s="12">
        <v>480212</v>
      </c>
    </row>
    <row r="12" spans="1:14" x14ac:dyDescent="0.35">
      <c r="A12" s="6" t="s">
        <v>65</v>
      </c>
      <c r="B12" s="10">
        <v>209534</v>
      </c>
      <c r="D12" s="6" t="s">
        <v>9</v>
      </c>
      <c r="E12" s="11">
        <v>989156</v>
      </c>
      <c r="G12" s="5" t="s">
        <v>1</v>
      </c>
      <c r="H12" t="s">
        <v>83</v>
      </c>
      <c r="I12" t="s">
        <v>88</v>
      </c>
      <c r="K12" s="6" t="s">
        <v>28</v>
      </c>
      <c r="L12" s="9">
        <v>6037</v>
      </c>
      <c r="M12" s="12">
        <v>27589</v>
      </c>
      <c r="N12" s="12">
        <v>411691</v>
      </c>
    </row>
    <row r="13" spans="1:14" x14ac:dyDescent="0.35">
      <c r="A13" s="6" t="s">
        <v>66</v>
      </c>
      <c r="B13" s="10">
        <v>228212</v>
      </c>
      <c r="D13" s="6" t="s">
        <v>23</v>
      </c>
      <c r="E13" s="11">
        <v>945154</v>
      </c>
      <c r="G13" s="6" t="s">
        <v>9</v>
      </c>
      <c r="H13" s="9">
        <v>14904</v>
      </c>
      <c r="I13" s="12">
        <v>68664</v>
      </c>
    </row>
    <row r="14" spans="1:14" x14ac:dyDescent="0.35">
      <c r="A14" s="6" t="s">
        <v>67</v>
      </c>
      <c r="B14" s="10">
        <v>209176</v>
      </c>
      <c r="D14" s="6" t="s">
        <v>13</v>
      </c>
      <c r="E14" s="11">
        <v>882348</v>
      </c>
      <c r="G14" s="6" t="s">
        <v>23</v>
      </c>
      <c r="H14" s="9">
        <v>14450</v>
      </c>
      <c r="I14" s="12">
        <v>69294</v>
      </c>
    </row>
    <row r="15" spans="1:14" x14ac:dyDescent="0.35">
      <c r="A15" s="6" t="s">
        <v>68</v>
      </c>
      <c r="B15" s="10">
        <v>236022</v>
      </c>
      <c r="D15" s="6" t="s">
        <v>17</v>
      </c>
      <c r="E15" s="11">
        <v>797107</v>
      </c>
      <c r="G15" s="6" t="s">
        <v>13</v>
      </c>
      <c r="H15" s="9">
        <v>14180</v>
      </c>
      <c r="I15" s="12">
        <v>72395</v>
      </c>
      <c r="K15" t="str">
        <f t="shared" ref="K15:N23" si="0">K4</f>
        <v>Drug Name</v>
      </c>
      <c r="L15" t="str">
        <f t="shared" si="0"/>
        <v>Quantity_Sold</v>
      </c>
      <c r="M15" t="str">
        <f t="shared" si="0"/>
        <v>Total_Profit</v>
      </c>
      <c r="N15" t="str">
        <f t="shared" si="0"/>
        <v>Total_Revenue</v>
      </c>
    </row>
    <row r="16" spans="1:14" x14ac:dyDescent="0.35">
      <c r="G16" s="6" t="s">
        <v>17</v>
      </c>
      <c r="H16" s="9">
        <v>12453</v>
      </c>
      <c r="I16" s="12">
        <v>62519</v>
      </c>
      <c r="K16" t="str">
        <f t="shared" si="0"/>
        <v>CardioVex</v>
      </c>
      <c r="L16" s="9">
        <f t="shared" si="0"/>
        <v>7076</v>
      </c>
      <c r="M16" s="12">
        <f t="shared" si="0"/>
        <v>31855</v>
      </c>
      <c r="N16" s="12">
        <f t="shared" si="0"/>
        <v>455841</v>
      </c>
    </row>
    <row r="17" spans="1:14" x14ac:dyDescent="0.35">
      <c r="K17" t="str">
        <f t="shared" si="0"/>
        <v>Diafast</v>
      </c>
      <c r="L17" s="9">
        <f t="shared" si="0"/>
        <v>6419</v>
      </c>
      <c r="M17" s="12">
        <f t="shared" si="0"/>
        <v>29117</v>
      </c>
      <c r="N17" s="12">
        <f t="shared" si="0"/>
        <v>408883</v>
      </c>
    </row>
    <row r="18" spans="1:14" x14ac:dyDescent="0.35">
      <c r="A18" s="6" t="s">
        <v>75</v>
      </c>
      <c r="K18" t="str">
        <f t="shared" si="0"/>
        <v>Glucorin</v>
      </c>
      <c r="L18" s="9">
        <f t="shared" si="0"/>
        <v>7873</v>
      </c>
      <c r="M18" s="12">
        <f t="shared" si="0"/>
        <v>37392</v>
      </c>
      <c r="N18" s="12">
        <f t="shared" si="0"/>
        <v>487601</v>
      </c>
    </row>
    <row r="19" spans="1:14" x14ac:dyDescent="0.35">
      <c r="A19" s="5" t="s">
        <v>71</v>
      </c>
      <c r="B19" s="5" t="s">
        <v>56</v>
      </c>
      <c r="G19" t="str">
        <f t="shared" ref="G19:I23" si="1">G12</f>
        <v>Region</v>
      </c>
      <c r="H19" t="str">
        <f t="shared" si="1"/>
        <v>Quantity Sold</v>
      </c>
      <c r="I19" t="str">
        <f t="shared" si="1"/>
        <v>Regional Profit</v>
      </c>
      <c r="K19" t="str">
        <f t="shared" si="0"/>
        <v>Heartzol</v>
      </c>
      <c r="L19" s="9">
        <f t="shared" si="0"/>
        <v>8276</v>
      </c>
      <c r="M19" s="12">
        <f t="shared" si="0"/>
        <v>40332</v>
      </c>
      <c r="N19" s="12">
        <f t="shared" si="0"/>
        <v>552239</v>
      </c>
    </row>
    <row r="20" spans="1:14" x14ac:dyDescent="0.35">
      <c r="A20" s="5" t="s">
        <v>84</v>
      </c>
      <c r="B20" t="s">
        <v>21</v>
      </c>
      <c r="C20" t="s">
        <v>15</v>
      </c>
      <c r="D20" t="s">
        <v>11</v>
      </c>
      <c r="E20" t="s">
        <v>26</v>
      </c>
      <c r="G20" t="str">
        <f t="shared" si="1"/>
        <v>Western Nigeria</v>
      </c>
      <c r="H20" s="9">
        <f t="shared" si="1"/>
        <v>14904</v>
      </c>
      <c r="I20" s="12">
        <f t="shared" si="1"/>
        <v>68664</v>
      </c>
      <c r="K20" t="str">
        <f t="shared" si="0"/>
        <v>Maxilin</v>
      </c>
      <c r="L20" s="9">
        <f t="shared" si="0"/>
        <v>8221</v>
      </c>
      <c r="M20" s="12">
        <f t="shared" si="0"/>
        <v>41721</v>
      </c>
      <c r="N20" s="12">
        <f t="shared" si="0"/>
        <v>501628</v>
      </c>
    </row>
    <row r="21" spans="1:14" x14ac:dyDescent="0.35">
      <c r="A21" s="6" t="s">
        <v>57</v>
      </c>
      <c r="B21" s="4">
        <v>2006</v>
      </c>
      <c r="C21" s="4">
        <v>921</v>
      </c>
      <c r="D21" s="4">
        <v>1295</v>
      </c>
      <c r="E21" s="4">
        <v>1365</v>
      </c>
      <c r="G21" t="str">
        <f t="shared" si="1"/>
        <v>Southern Nigeria</v>
      </c>
      <c r="H21" s="9">
        <f t="shared" si="1"/>
        <v>14450</v>
      </c>
      <c r="I21" s="12">
        <f t="shared" si="1"/>
        <v>69294</v>
      </c>
      <c r="K21" t="str">
        <f t="shared" si="0"/>
        <v>Neuroflex</v>
      </c>
      <c r="L21" s="9">
        <f t="shared" si="0"/>
        <v>5039</v>
      </c>
      <c r="M21" s="12">
        <f t="shared" si="0"/>
        <v>27115</v>
      </c>
      <c r="N21" s="12">
        <f t="shared" si="0"/>
        <v>315670</v>
      </c>
    </row>
    <row r="22" spans="1:14" x14ac:dyDescent="0.35">
      <c r="A22" s="6" t="s">
        <v>58</v>
      </c>
      <c r="B22" s="4">
        <v>1709</v>
      </c>
      <c r="C22" s="4">
        <v>1764</v>
      </c>
      <c r="D22" s="4">
        <v>1542</v>
      </c>
      <c r="E22" s="4">
        <v>1371</v>
      </c>
      <c r="G22" t="str">
        <f t="shared" si="1"/>
        <v>Northern Nigeria</v>
      </c>
      <c r="H22" s="9">
        <f t="shared" si="1"/>
        <v>14180</v>
      </c>
      <c r="I22" s="12">
        <f t="shared" si="1"/>
        <v>72395</v>
      </c>
      <c r="K22" t="str">
        <f t="shared" si="0"/>
        <v>Relipain</v>
      </c>
      <c r="L22" s="9">
        <f t="shared" si="0"/>
        <v>7046</v>
      </c>
      <c r="M22" s="12">
        <f t="shared" si="0"/>
        <v>37751</v>
      </c>
      <c r="N22" s="12">
        <f t="shared" si="0"/>
        <v>480212</v>
      </c>
    </row>
    <row r="23" spans="1:14" x14ac:dyDescent="0.35">
      <c r="A23" s="6" t="s">
        <v>59</v>
      </c>
      <c r="B23" s="4">
        <v>1248</v>
      </c>
      <c r="C23" s="4">
        <v>1165</v>
      </c>
      <c r="D23" s="4">
        <v>1938</v>
      </c>
      <c r="E23" s="4">
        <v>2206</v>
      </c>
      <c r="G23" t="str">
        <f t="shared" si="1"/>
        <v>Eastern Nigeria</v>
      </c>
      <c r="H23" s="9">
        <f t="shared" si="1"/>
        <v>12453</v>
      </c>
      <c r="I23" s="12">
        <f t="shared" si="1"/>
        <v>62519</v>
      </c>
      <c r="K23" t="str">
        <f t="shared" si="0"/>
        <v>Zymetra</v>
      </c>
      <c r="L23" s="9">
        <f t="shared" si="0"/>
        <v>6037</v>
      </c>
      <c r="M23" s="12">
        <f t="shared" si="0"/>
        <v>27589</v>
      </c>
      <c r="N23" s="12">
        <f t="shared" si="0"/>
        <v>411691</v>
      </c>
    </row>
    <row r="24" spans="1:14" x14ac:dyDescent="0.35">
      <c r="A24" s="6" t="s">
        <v>60</v>
      </c>
      <c r="B24" s="4">
        <v>2038</v>
      </c>
      <c r="C24" s="4">
        <v>1773</v>
      </c>
      <c r="D24" s="4">
        <v>1613</v>
      </c>
      <c r="E24" s="4">
        <v>805</v>
      </c>
    </row>
    <row r="25" spans="1:14" x14ac:dyDescent="0.35">
      <c r="A25" s="6" t="s">
        <v>61</v>
      </c>
      <c r="B25" s="4">
        <v>2030</v>
      </c>
      <c r="C25" s="4">
        <v>2178</v>
      </c>
      <c r="D25" s="4">
        <v>1815</v>
      </c>
      <c r="E25" s="4">
        <v>1583</v>
      </c>
      <c r="G25" t="s">
        <v>76</v>
      </c>
    </row>
    <row r="26" spans="1:14" x14ac:dyDescent="0.35">
      <c r="A26" s="6" t="s">
        <v>62</v>
      </c>
      <c r="B26" s="4">
        <v>381</v>
      </c>
      <c r="C26" s="4">
        <v>1042</v>
      </c>
      <c r="D26" s="4">
        <v>959</v>
      </c>
      <c r="E26" s="4">
        <v>813</v>
      </c>
      <c r="G26" s="5" t="s">
        <v>85</v>
      </c>
      <c r="H26" s="5" t="s">
        <v>73</v>
      </c>
    </row>
    <row r="27" spans="1:14" x14ac:dyDescent="0.35">
      <c r="A27" s="6" t="s">
        <v>63</v>
      </c>
      <c r="B27" s="4">
        <v>493</v>
      </c>
      <c r="C27" s="4">
        <v>1344</v>
      </c>
      <c r="D27" s="4">
        <v>778</v>
      </c>
      <c r="E27" s="4">
        <v>678</v>
      </c>
      <c r="G27" s="5" t="s">
        <v>2</v>
      </c>
      <c r="H27" t="s">
        <v>9</v>
      </c>
      <c r="I27" t="s">
        <v>23</v>
      </c>
      <c r="J27" t="s">
        <v>13</v>
      </c>
      <c r="K27" t="s">
        <v>17</v>
      </c>
      <c r="M27" s="5" t="s">
        <v>1</v>
      </c>
      <c r="N27" t="s">
        <v>80</v>
      </c>
    </row>
    <row r="28" spans="1:14" x14ac:dyDescent="0.35">
      <c r="A28" s="6" t="s">
        <v>64</v>
      </c>
      <c r="B28" s="4">
        <v>925</v>
      </c>
      <c r="C28" s="4">
        <v>918</v>
      </c>
      <c r="D28" s="4">
        <v>1076</v>
      </c>
      <c r="E28" s="4">
        <v>521</v>
      </c>
      <c r="G28" s="6" t="s">
        <v>26</v>
      </c>
      <c r="H28" s="4">
        <v>2924</v>
      </c>
      <c r="I28" s="4">
        <v>4128</v>
      </c>
      <c r="J28" s="4">
        <v>2746</v>
      </c>
      <c r="K28" s="4">
        <v>2287</v>
      </c>
      <c r="M28" s="6" t="s">
        <v>96</v>
      </c>
      <c r="N28" s="11">
        <v>2520760</v>
      </c>
    </row>
    <row r="29" spans="1:14" x14ac:dyDescent="0.35">
      <c r="A29" s="6" t="s">
        <v>65</v>
      </c>
      <c r="B29" s="4">
        <v>998</v>
      </c>
      <c r="C29" s="4">
        <v>1115</v>
      </c>
      <c r="D29" s="4">
        <v>932</v>
      </c>
      <c r="E29" s="4">
        <v>491</v>
      </c>
      <c r="G29" s="6" t="s">
        <v>11</v>
      </c>
      <c r="H29" s="4">
        <v>3873</v>
      </c>
      <c r="I29" s="4">
        <v>3412</v>
      </c>
      <c r="J29" s="4">
        <v>3699</v>
      </c>
      <c r="K29" s="4">
        <v>3308</v>
      </c>
      <c r="M29" s="6" t="s">
        <v>97</v>
      </c>
      <c r="N29" s="11">
        <v>1093005</v>
      </c>
    </row>
    <row r="30" spans="1:14" x14ac:dyDescent="0.35">
      <c r="A30" s="6" t="s">
        <v>66</v>
      </c>
      <c r="B30" s="4">
        <v>864</v>
      </c>
      <c r="C30" s="4">
        <v>688</v>
      </c>
      <c r="D30" s="4">
        <v>1117</v>
      </c>
      <c r="E30" s="4">
        <v>790</v>
      </c>
      <c r="G30" s="6" t="s">
        <v>15</v>
      </c>
      <c r="H30" s="4">
        <v>4321</v>
      </c>
      <c r="I30" s="4">
        <v>3978</v>
      </c>
      <c r="J30" s="4">
        <v>3690</v>
      </c>
      <c r="K30" s="4">
        <v>3363</v>
      </c>
    </row>
    <row r="31" spans="1:14" x14ac:dyDescent="0.35">
      <c r="A31" s="6" t="s">
        <v>67</v>
      </c>
      <c r="B31" s="4">
        <v>811</v>
      </c>
      <c r="C31" s="4">
        <v>1184</v>
      </c>
      <c r="D31" s="4">
        <v>910</v>
      </c>
      <c r="E31" s="4">
        <v>350</v>
      </c>
      <c r="G31" s="6" t="s">
        <v>21</v>
      </c>
      <c r="H31" s="4">
        <v>3786</v>
      </c>
      <c r="I31" s="4">
        <v>2932</v>
      </c>
      <c r="J31" s="4">
        <v>4045</v>
      </c>
      <c r="K31" s="4">
        <v>3495</v>
      </c>
    </row>
    <row r="32" spans="1:14" x14ac:dyDescent="0.35">
      <c r="A32" s="6" t="s">
        <v>68</v>
      </c>
      <c r="B32" s="4">
        <v>755</v>
      </c>
      <c r="C32" s="4">
        <v>1260</v>
      </c>
      <c r="D32" s="4">
        <v>317</v>
      </c>
      <c r="E32" s="4">
        <v>1112</v>
      </c>
    </row>
    <row r="33" spans="1:17" x14ac:dyDescent="0.35">
      <c r="M33" s="19"/>
      <c r="N33" s="19"/>
      <c r="O33" s="19"/>
      <c r="P33" s="19"/>
      <c r="Q33" s="19"/>
    </row>
    <row r="34" spans="1:17" x14ac:dyDescent="0.35">
      <c r="D34" t="str">
        <f>G34</f>
        <v>Total Revenue</v>
      </c>
      <c r="E34" t="str">
        <f>H34</f>
        <v>Total Revenue</v>
      </c>
      <c r="G34" t="s">
        <v>98</v>
      </c>
      <c r="H34" t="str">
        <f>G34</f>
        <v>Total Revenue</v>
      </c>
      <c r="J34" s="5" t="s">
        <v>77</v>
      </c>
      <c r="K34" t="s">
        <v>98</v>
      </c>
      <c r="L34" t="str">
        <f t="shared" ref="L34:M36" si="2">J34</f>
        <v>Year</v>
      </c>
      <c r="M34" t="str">
        <f t="shared" si="2"/>
        <v>Total Revenue</v>
      </c>
    </row>
    <row r="35" spans="1:17" x14ac:dyDescent="0.35">
      <c r="D35">
        <f>G35</f>
        <v>3613765</v>
      </c>
      <c r="E35">
        <f>IFERROR(GETPIVOTDATA("Revenue",$G$34,"Years (Date)",2024),2520760)</f>
        <v>2520760</v>
      </c>
      <c r="G35" s="20">
        <v>3613765</v>
      </c>
      <c r="H35" s="20">
        <f>GETPIVOTDATA("Revenue",$G$34)</f>
        <v>3613765</v>
      </c>
      <c r="J35" s="6" t="s">
        <v>96</v>
      </c>
      <c r="K35" s="20">
        <v>2520760</v>
      </c>
      <c r="L35" t="str">
        <f t="shared" si="2"/>
        <v>2024</v>
      </c>
      <c r="M35" s="20">
        <f t="shared" si="2"/>
        <v>2520760</v>
      </c>
    </row>
    <row r="36" spans="1:17" x14ac:dyDescent="0.35">
      <c r="D36">
        <f>G36</f>
        <v>0</v>
      </c>
      <c r="E36">
        <f>IFERROR(GETPIVOTDATA("Revenue",$G$34,"Years (Date)",2025),1093005)</f>
        <v>1093005</v>
      </c>
      <c r="J36" s="6" t="s">
        <v>97</v>
      </c>
      <c r="K36" s="20">
        <v>1093005</v>
      </c>
      <c r="L36" t="str">
        <f t="shared" si="2"/>
        <v>2025</v>
      </c>
      <c r="M36" s="20">
        <f t="shared" si="2"/>
        <v>1093005</v>
      </c>
    </row>
    <row r="37" spans="1:17" x14ac:dyDescent="0.35">
      <c r="E37">
        <f>IF(E35=0," ",(E36-E35)/E35)</f>
        <v>-0.56639862581126332</v>
      </c>
      <c r="M37">
        <f>(M36-M35)/M35</f>
        <v>-0.56639862581126332</v>
      </c>
    </row>
    <row r="38" spans="1:17" x14ac:dyDescent="0.35">
      <c r="A38" s="5" t="s">
        <v>1</v>
      </c>
      <c r="B38" t="s">
        <v>80</v>
      </c>
      <c r="M38" t="str">
        <f>IF(M37="","0%",TEXT(M37,"+0.0%;-0.0%")&amp;IF(M37&gt;0,"↑",IF(M37&lt;0,"↓","")))</f>
        <v>-56.6%↓</v>
      </c>
    </row>
    <row r="39" spans="1:17" x14ac:dyDescent="0.35">
      <c r="A39" s="6" t="s">
        <v>96</v>
      </c>
      <c r="B39" s="11">
        <v>2520760</v>
      </c>
      <c r="G39" s="5" t="s">
        <v>77</v>
      </c>
      <c r="H39" t="s">
        <v>98</v>
      </c>
      <c r="I39" t="s">
        <v>79</v>
      </c>
      <c r="J39" t="s">
        <v>105</v>
      </c>
      <c r="K39" t="str">
        <f>J39</f>
        <v>QtySold</v>
      </c>
    </row>
    <row r="40" spans="1:17" x14ac:dyDescent="0.35">
      <c r="A40" s="6" t="s">
        <v>97</v>
      </c>
      <c r="B40" s="11">
        <v>1093005</v>
      </c>
      <c r="G40" s="6" t="s">
        <v>96</v>
      </c>
      <c r="H40" s="20">
        <v>2520760</v>
      </c>
      <c r="I40" s="21"/>
      <c r="J40" s="9">
        <v>55987</v>
      </c>
      <c r="K40" s="9">
        <f>J40</f>
        <v>55987</v>
      </c>
    </row>
    <row r="41" spans="1:17" x14ac:dyDescent="0.35">
      <c r="G41" s="6" t="s">
        <v>97</v>
      </c>
      <c r="H41" s="20">
        <v>1093005</v>
      </c>
      <c r="I41" s="21">
        <v>-0.56639862581126332</v>
      </c>
    </row>
    <row r="43" spans="1:17" x14ac:dyDescent="0.35">
      <c r="A43" s="5" t="s">
        <v>1</v>
      </c>
      <c r="B43" t="s">
        <v>80</v>
      </c>
      <c r="D43" s="5" t="s">
        <v>1</v>
      </c>
      <c r="E43" t="s">
        <v>80</v>
      </c>
      <c r="G43" s="5" t="s">
        <v>1</v>
      </c>
      <c r="H43" t="s">
        <v>99</v>
      </c>
      <c r="J43" s="5" t="s">
        <v>77</v>
      </c>
      <c r="K43" t="s">
        <v>105</v>
      </c>
      <c r="L43" t="str">
        <f t="shared" ref="L43:M45" si="3">J43</f>
        <v>Year</v>
      </c>
      <c r="M43" t="str">
        <f t="shared" si="3"/>
        <v>QtySold</v>
      </c>
    </row>
    <row r="44" spans="1:17" x14ac:dyDescent="0.35">
      <c r="A44" s="6" t="s">
        <v>96</v>
      </c>
      <c r="B44" s="11">
        <v>2520760</v>
      </c>
      <c r="D44" s="6" t="s">
        <v>96</v>
      </c>
      <c r="E44" s="11">
        <v>2520760</v>
      </c>
      <c r="G44" s="6" t="s">
        <v>24</v>
      </c>
      <c r="H44" s="11">
        <v>700598</v>
      </c>
      <c r="J44" s="6" t="s">
        <v>96</v>
      </c>
      <c r="K44" s="9">
        <v>39486</v>
      </c>
      <c r="L44" s="9" t="str">
        <f t="shared" si="3"/>
        <v>2024</v>
      </c>
      <c r="M44" s="9">
        <f t="shared" si="3"/>
        <v>39486</v>
      </c>
    </row>
    <row r="45" spans="1:17" x14ac:dyDescent="0.35">
      <c r="A45" s="6" t="s">
        <v>97</v>
      </c>
      <c r="B45" s="11">
        <v>1093005</v>
      </c>
      <c r="D45" s="6" t="s">
        <v>97</v>
      </c>
      <c r="E45" s="11">
        <v>1093005</v>
      </c>
      <c r="G45" s="6" t="s">
        <v>16</v>
      </c>
      <c r="H45" s="11">
        <v>757817</v>
      </c>
      <c r="J45" s="6" t="s">
        <v>97</v>
      </c>
      <c r="K45" s="9">
        <v>16501</v>
      </c>
      <c r="L45" t="str">
        <f t="shared" si="3"/>
        <v>2025</v>
      </c>
      <c r="M45" s="9">
        <f t="shared" si="3"/>
        <v>16501</v>
      </c>
    </row>
    <row r="46" spans="1:17" x14ac:dyDescent="0.35">
      <c r="G46" s="6" t="s">
        <v>19</v>
      </c>
      <c r="H46" s="11">
        <v>620995</v>
      </c>
      <c r="M46">
        <f>(M45-M44)/M44</f>
        <v>-0.58210504989110068</v>
      </c>
    </row>
    <row r="47" spans="1:17" x14ac:dyDescent="0.35">
      <c r="G47" s="6" t="s">
        <v>22</v>
      </c>
      <c r="H47" s="11">
        <v>651908</v>
      </c>
      <c r="M47" t="str">
        <f>IF(M46="","0%",TEXT(M46,"+0.0%;-0.0%")&amp;IF(M46&gt;0,"↑",IF(M46&lt;0,"↓","")))</f>
        <v>-58.2%↓</v>
      </c>
    </row>
    <row r="48" spans="1:17" x14ac:dyDescent="0.35">
      <c r="G48" s="6" t="s">
        <v>12</v>
      </c>
      <c r="H48" s="11">
        <v>882447</v>
      </c>
      <c r="J48" t="s">
        <v>106</v>
      </c>
      <c r="K48" t="str">
        <f>J48</f>
        <v>SumProfit</v>
      </c>
    </row>
    <row r="49" spans="1:13" x14ac:dyDescent="0.35">
      <c r="A49" t="s">
        <v>9</v>
      </c>
      <c r="B49" t="s">
        <v>9</v>
      </c>
      <c r="C49" t="s">
        <v>23</v>
      </c>
      <c r="D49" t="s">
        <v>23</v>
      </c>
      <c r="E49" t="s">
        <v>13</v>
      </c>
      <c r="F49" t="s">
        <v>13</v>
      </c>
      <c r="G49" t="s">
        <v>17</v>
      </c>
      <c r="H49" t="s">
        <v>17</v>
      </c>
      <c r="J49" s="10">
        <v>272872</v>
      </c>
      <c r="K49" s="12">
        <f>GETPIVOTDATA("Profit",$J$48)</f>
        <v>272872</v>
      </c>
    </row>
    <row r="50" spans="1:13" x14ac:dyDescent="0.35">
      <c r="A50" s="9">
        <v>14904</v>
      </c>
      <c r="B50" s="12">
        <v>68664</v>
      </c>
      <c r="C50" s="9">
        <v>14450</v>
      </c>
      <c r="D50" s="12">
        <v>69294</v>
      </c>
      <c r="E50" s="9">
        <v>14180</v>
      </c>
      <c r="F50" s="12">
        <v>72395</v>
      </c>
      <c r="G50" s="9">
        <v>12453</v>
      </c>
      <c r="H50" s="12">
        <v>62519</v>
      </c>
    </row>
    <row r="52" spans="1:13" x14ac:dyDescent="0.35">
      <c r="J52" s="5" t="s">
        <v>77</v>
      </c>
      <c r="K52" t="s">
        <v>106</v>
      </c>
      <c r="L52" t="str">
        <f t="shared" ref="L52:M54" si="4">J52</f>
        <v>Year</v>
      </c>
      <c r="M52" t="str">
        <f t="shared" si="4"/>
        <v>SumProfit</v>
      </c>
    </row>
    <row r="53" spans="1:13" x14ac:dyDescent="0.35">
      <c r="J53" s="6" t="s">
        <v>96</v>
      </c>
      <c r="K53" s="10">
        <v>191255</v>
      </c>
      <c r="L53" t="str">
        <f t="shared" si="4"/>
        <v>2024</v>
      </c>
      <c r="M53" s="10">
        <f t="shared" si="4"/>
        <v>191255</v>
      </c>
    </row>
    <row r="54" spans="1:13" x14ac:dyDescent="0.35">
      <c r="J54" s="6" t="s">
        <v>97</v>
      </c>
      <c r="K54" s="10">
        <v>81617</v>
      </c>
      <c r="L54" t="str">
        <f t="shared" si="4"/>
        <v>2025</v>
      </c>
      <c r="M54" s="10">
        <f t="shared" si="4"/>
        <v>81617</v>
      </c>
    </row>
    <row r="55" spans="1:13" x14ac:dyDescent="0.35">
      <c r="M55">
        <f>(M54-M53)/M53</f>
        <v>-0.57325560116075391</v>
      </c>
    </row>
    <row r="56" spans="1:13" x14ac:dyDescent="0.35">
      <c r="M56" t="str">
        <f>IF(M55="","0%",TEXT(M55,"+0.0%;-0.0%")&amp;IF(M55&gt;0,"↑",IF(M55&lt;0,"↓","")))</f>
        <v>-57.3%↓</v>
      </c>
    </row>
  </sheetData>
  <mergeCells count="2">
    <mergeCell ref="G11:I11"/>
    <mergeCell ref="K3:N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31318-325F-4914-BB80-4D34858C9DC3}">
  <dimension ref="E6:E9"/>
  <sheetViews>
    <sheetView showGridLines="0" tabSelected="1" zoomScale="80" zoomScaleNormal="80" workbookViewId="0"/>
  </sheetViews>
  <sheetFormatPr defaultRowHeight="14.5" x14ac:dyDescent="0.35"/>
  <cols>
    <col min="1" max="2" width="8.7265625" style="7"/>
    <col min="3" max="3" width="5.1796875" style="7" customWidth="1"/>
    <col min="4" max="4" width="20.90625" style="7" customWidth="1"/>
    <col min="5" max="5" width="13.81640625" style="7" customWidth="1"/>
    <col min="6" max="16384" width="8.7265625" style="7"/>
  </cols>
  <sheetData>
    <row r="6" spans="5:5" x14ac:dyDescent="0.35">
      <c r="E6" s="8"/>
    </row>
    <row r="9" spans="5:5" ht="31" customHeight="1"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1326A7-1423-4D23-AB1D-BB8B36668A3A}">
  <dimension ref="D6:H30"/>
  <sheetViews>
    <sheetView showGridLines="0" zoomScale="80" zoomScaleNormal="80" workbookViewId="0"/>
  </sheetViews>
  <sheetFormatPr defaultRowHeight="14.5" x14ac:dyDescent="0.35"/>
  <cols>
    <col min="1" max="2" width="8.7265625" style="17"/>
    <col min="3" max="3" width="5.1796875" style="17" customWidth="1"/>
    <col min="4" max="7" width="19.54296875" style="17" customWidth="1"/>
    <col min="8" max="8" width="18.7265625" style="17" customWidth="1"/>
    <col min="9" max="16384" width="8.7265625" style="17"/>
  </cols>
  <sheetData>
    <row r="6" spans="4:8" x14ac:dyDescent="0.35">
      <c r="E6" s="18"/>
    </row>
    <row r="9" spans="4:8" ht="31" customHeight="1" x14ac:dyDescent="0.35"/>
    <row r="11" spans="4:8" x14ac:dyDescent="0.35">
      <c r="D11" s="15" t="str">
        <f>Pivot!A20</f>
        <v>Months</v>
      </c>
      <c r="E11" s="15" t="str">
        <f>Pivot!B20</f>
        <v>Antibiotic</v>
      </c>
      <c r="F11" s="15" t="str">
        <f>Pivot!C20</f>
        <v>Cardiovascular</v>
      </c>
      <c r="G11" s="15" t="str">
        <f>Pivot!D20</f>
        <v>Diabetes Care</v>
      </c>
      <c r="H11" s="15" t="str">
        <f>Pivot!E20</f>
        <v>Pain Relief</v>
      </c>
    </row>
    <row r="12" spans="4:8" x14ac:dyDescent="0.35">
      <c r="D12" s="13" t="str">
        <f>Pivot!A21</f>
        <v>Jan</v>
      </c>
      <c r="E12" s="14">
        <f>Pivot!B21</f>
        <v>2006</v>
      </c>
      <c r="F12" s="14">
        <f>Pivot!C21</f>
        <v>921</v>
      </c>
      <c r="G12" s="14">
        <f>Pivot!D21</f>
        <v>1295</v>
      </c>
      <c r="H12" s="14">
        <f>Pivot!E21</f>
        <v>1365</v>
      </c>
    </row>
    <row r="13" spans="4:8" x14ac:dyDescent="0.35">
      <c r="D13" s="13" t="str">
        <f>Pivot!A22</f>
        <v>Feb</v>
      </c>
      <c r="E13" s="14">
        <f>Pivot!B22</f>
        <v>1709</v>
      </c>
      <c r="F13" s="14">
        <f>Pivot!C22</f>
        <v>1764</v>
      </c>
      <c r="G13" s="14">
        <f>Pivot!D22</f>
        <v>1542</v>
      </c>
      <c r="H13" s="14">
        <f>Pivot!E22</f>
        <v>1371</v>
      </c>
    </row>
    <row r="14" spans="4:8" x14ac:dyDescent="0.35">
      <c r="D14" s="13" t="str">
        <f>Pivot!A23</f>
        <v>Mar</v>
      </c>
      <c r="E14" s="14">
        <f>Pivot!B23</f>
        <v>1248</v>
      </c>
      <c r="F14" s="14">
        <f>Pivot!C23</f>
        <v>1165</v>
      </c>
      <c r="G14" s="14">
        <f>Pivot!D23</f>
        <v>1938</v>
      </c>
      <c r="H14" s="14">
        <f>Pivot!E23</f>
        <v>2206</v>
      </c>
    </row>
    <row r="15" spans="4:8" x14ac:dyDescent="0.35">
      <c r="D15" s="13" t="str">
        <f>Pivot!A24</f>
        <v>Apr</v>
      </c>
      <c r="E15" s="14">
        <f>Pivot!B24</f>
        <v>2038</v>
      </c>
      <c r="F15" s="14">
        <f>Pivot!C24</f>
        <v>1773</v>
      </c>
      <c r="G15" s="14">
        <f>Pivot!D24</f>
        <v>1613</v>
      </c>
      <c r="H15" s="14">
        <f>Pivot!E24</f>
        <v>805</v>
      </c>
    </row>
    <row r="16" spans="4:8" x14ac:dyDescent="0.35">
      <c r="D16" s="13" t="str">
        <f>Pivot!A25</f>
        <v>May</v>
      </c>
      <c r="E16" s="14">
        <f>Pivot!B25</f>
        <v>2030</v>
      </c>
      <c r="F16" s="14">
        <f>Pivot!C25</f>
        <v>2178</v>
      </c>
      <c r="G16" s="14">
        <f>Pivot!D25</f>
        <v>1815</v>
      </c>
      <c r="H16" s="14">
        <f>Pivot!E25</f>
        <v>1583</v>
      </c>
    </row>
    <row r="17" spans="4:8" x14ac:dyDescent="0.35">
      <c r="D17" s="13" t="str">
        <f>Pivot!A26</f>
        <v>Jun</v>
      </c>
      <c r="E17" s="14">
        <f>Pivot!B26</f>
        <v>381</v>
      </c>
      <c r="F17" s="14">
        <f>Pivot!C26</f>
        <v>1042</v>
      </c>
      <c r="G17" s="14">
        <f>Pivot!D26</f>
        <v>959</v>
      </c>
      <c r="H17" s="14">
        <f>Pivot!E26</f>
        <v>813</v>
      </c>
    </row>
    <row r="18" spans="4:8" x14ac:dyDescent="0.35">
      <c r="D18" s="13" t="str">
        <f>Pivot!A27</f>
        <v>Jul</v>
      </c>
      <c r="E18" s="14">
        <f>Pivot!B27</f>
        <v>493</v>
      </c>
      <c r="F18" s="14">
        <f>Pivot!C27</f>
        <v>1344</v>
      </c>
      <c r="G18" s="14">
        <f>Pivot!D27</f>
        <v>778</v>
      </c>
      <c r="H18" s="14">
        <f>Pivot!E27</f>
        <v>678</v>
      </c>
    </row>
    <row r="19" spans="4:8" x14ac:dyDescent="0.35">
      <c r="D19" s="13" t="str">
        <f>Pivot!A28</f>
        <v>Aug</v>
      </c>
      <c r="E19" s="14">
        <f>Pivot!B28</f>
        <v>925</v>
      </c>
      <c r="F19" s="14">
        <f>Pivot!C28</f>
        <v>918</v>
      </c>
      <c r="G19" s="14">
        <f>Pivot!D28</f>
        <v>1076</v>
      </c>
      <c r="H19" s="14">
        <f>Pivot!E28</f>
        <v>521</v>
      </c>
    </row>
    <row r="20" spans="4:8" x14ac:dyDescent="0.35">
      <c r="D20" s="13" t="str">
        <f>Pivot!A29</f>
        <v>Sep</v>
      </c>
      <c r="E20" s="14">
        <f>Pivot!B29</f>
        <v>998</v>
      </c>
      <c r="F20" s="14">
        <f>Pivot!C29</f>
        <v>1115</v>
      </c>
      <c r="G20" s="14">
        <f>Pivot!D29</f>
        <v>932</v>
      </c>
      <c r="H20" s="14">
        <f>Pivot!E29</f>
        <v>491</v>
      </c>
    </row>
    <row r="21" spans="4:8" x14ac:dyDescent="0.35">
      <c r="D21" s="13" t="str">
        <f>Pivot!A30</f>
        <v>Oct</v>
      </c>
      <c r="E21" s="14">
        <f>Pivot!B30</f>
        <v>864</v>
      </c>
      <c r="F21" s="14">
        <f>Pivot!C30</f>
        <v>688</v>
      </c>
      <c r="G21" s="14">
        <f>Pivot!D30</f>
        <v>1117</v>
      </c>
      <c r="H21" s="14">
        <f>Pivot!E30</f>
        <v>790</v>
      </c>
    </row>
    <row r="22" spans="4:8" x14ac:dyDescent="0.35">
      <c r="D22" s="13" t="str">
        <f>Pivot!A31</f>
        <v>Nov</v>
      </c>
      <c r="E22" s="14">
        <f>Pivot!B31</f>
        <v>811</v>
      </c>
      <c r="F22" s="14">
        <f>Pivot!C31</f>
        <v>1184</v>
      </c>
      <c r="G22" s="14">
        <f>Pivot!D31</f>
        <v>910</v>
      </c>
      <c r="H22" s="14">
        <f>Pivot!E31</f>
        <v>350</v>
      </c>
    </row>
    <row r="23" spans="4:8" x14ac:dyDescent="0.35">
      <c r="D23" s="13" t="str">
        <f>Pivot!A32</f>
        <v>Dec</v>
      </c>
      <c r="E23" s="14">
        <f>Pivot!B32</f>
        <v>755</v>
      </c>
      <c r="F23" s="14">
        <f>Pivot!C32</f>
        <v>1260</v>
      </c>
      <c r="G23" s="14">
        <f>Pivot!D32</f>
        <v>317</v>
      </c>
      <c r="H23" s="14">
        <f>Pivot!E32</f>
        <v>1112</v>
      </c>
    </row>
    <row r="26" spans="4:8" x14ac:dyDescent="0.35">
      <c r="D26" s="16" t="str">
        <f>Pivot!G27</f>
        <v>Category</v>
      </c>
      <c r="E26" s="16" t="str">
        <f>Pivot!H27</f>
        <v>Western Nigeria</v>
      </c>
      <c r="F26" s="16" t="str">
        <f>Pivot!I27</f>
        <v>Southern Nigeria</v>
      </c>
      <c r="G26" s="16" t="str">
        <f>Pivot!J27</f>
        <v>Northern Nigeria</v>
      </c>
      <c r="H26" s="16" t="str">
        <f>Pivot!K27</f>
        <v>Eastern Nigeria</v>
      </c>
    </row>
    <row r="27" spans="4:8" x14ac:dyDescent="0.35">
      <c r="D27" s="14" t="str">
        <f>Pivot!G28</f>
        <v>Pain Relief</v>
      </c>
      <c r="E27" s="14">
        <f>Pivot!H28</f>
        <v>2924</v>
      </c>
      <c r="F27" s="14">
        <f>Pivot!I28</f>
        <v>4128</v>
      </c>
      <c r="G27" s="14">
        <f>Pivot!J28</f>
        <v>2746</v>
      </c>
      <c r="H27" s="14">
        <f>Pivot!K28</f>
        <v>2287</v>
      </c>
    </row>
    <row r="28" spans="4:8" x14ac:dyDescent="0.35">
      <c r="D28" s="14" t="str">
        <f>Pivot!G29</f>
        <v>Diabetes Care</v>
      </c>
      <c r="E28" s="14">
        <f>Pivot!H29</f>
        <v>3873</v>
      </c>
      <c r="F28" s="14">
        <f>Pivot!I29</f>
        <v>3412</v>
      </c>
      <c r="G28" s="14">
        <f>Pivot!J29</f>
        <v>3699</v>
      </c>
      <c r="H28" s="14">
        <f>Pivot!K29</f>
        <v>3308</v>
      </c>
    </row>
    <row r="29" spans="4:8" x14ac:dyDescent="0.35">
      <c r="D29" s="14" t="str">
        <f>Pivot!G30</f>
        <v>Cardiovascular</v>
      </c>
      <c r="E29" s="14">
        <f>Pivot!H30</f>
        <v>4321</v>
      </c>
      <c r="F29" s="14">
        <f>Pivot!I30</f>
        <v>3978</v>
      </c>
      <c r="G29" s="14">
        <f>Pivot!J30</f>
        <v>3690</v>
      </c>
      <c r="H29" s="14">
        <f>Pivot!K30</f>
        <v>3363</v>
      </c>
    </row>
    <row r="30" spans="4:8" x14ac:dyDescent="0.35">
      <c r="D30" s="14" t="str">
        <f>Pivot!G31</f>
        <v>Antibiotic</v>
      </c>
      <c r="E30" s="14">
        <f>Pivot!H31</f>
        <v>3786</v>
      </c>
      <c r="F30" s="14">
        <f>Pivot!I31</f>
        <v>2932</v>
      </c>
      <c r="G30" s="14">
        <f>Pivot!J31</f>
        <v>4045</v>
      </c>
      <c r="H30" s="14">
        <f>Pivot!K31</f>
        <v>3495</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Pharmacy_Analysis_Clean</vt:lpstr>
      <vt:lpstr>Pivot</vt:lpstr>
      <vt:lpstr>Dashboard1</vt:lpstr>
      <vt:lpstr>Dashboard2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Johnbaptist Ejekwu</dc:creator>
  <cp:lastModifiedBy>Mr Diego</cp:lastModifiedBy>
  <dcterms:created xsi:type="dcterms:W3CDTF">2025-07-05T13:25:51Z</dcterms:created>
  <dcterms:modified xsi:type="dcterms:W3CDTF">2026-04-02T19:53:10Z</dcterms:modified>
</cp:coreProperties>
</file>